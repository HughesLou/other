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8010" activeTab="2"/>
  </bookViews>
  <sheets>
    <sheet name="Sheet1" sheetId="1" r:id="rId1"/>
    <sheet name="Sheet2" sheetId="2" r:id="rId2"/>
    <sheet name="2016" sheetId="5" r:id="rId3"/>
  </sheets>
  <functionGroups/>
  <calcPr calcId="125725"/>
</workbook>
</file>

<file path=xl/calcChain.xml><?xml version="1.0" encoding="utf-8"?>
<calcChain xmlns="http://schemas.openxmlformats.org/spreadsheetml/2006/main">
  <c r="N49" i="5"/>
  <c r="P49"/>
  <c r="Q49" l="1"/>
  <c r="O49"/>
  <c r="M49"/>
  <c r="L49"/>
  <c r="J49"/>
  <c r="K49"/>
  <c r="I49"/>
  <c r="H49"/>
  <c r="N48" l="1"/>
  <c r="P47"/>
  <c r="P48"/>
  <c r="P45"/>
  <c r="Q48" l="1"/>
  <c r="O48"/>
  <c r="M48"/>
  <c r="L48"/>
  <c r="K48"/>
  <c r="J48"/>
  <c r="I48"/>
  <c r="H48"/>
  <c r="H47"/>
  <c r="I47"/>
  <c r="J47"/>
  <c r="K47"/>
  <c r="K46"/>
  <c r="J46"/>
  <c r="I46"/>
  <c r="H46"/>
  <c r="N31"/>
  <c r="K45"/>
  <c r="J45"/>
  <c r="I45"/>
  <c r="H45"/>
  <c r="I44"/>
  <c r="J44"/>
  <c r="K44"/>
  <c r="H44"/>
  <c r="L29"/>
  <c r="I16"/>
  <c r="S45"/>
  <c r="D42"/>
  <c r="E42"/>
  <c r="F42"/>
  <c r="G42"/>
  <c r="D28"/>
  <c r="E28"/>
  <c r="F28"/>
  <c r="G28"/>
  <c r="D14"/>
  <c r="E14"/>
  <c r="F14"/>
  <c r="G14"/>
  <c r="P27"/>
  <c r="P22"/>
  <c r="P30"/>
  <c r="P9"/>
  <c r="P23"/>
  <c r="P41"/>
  <c r="P25"/>
  <c r="P38"/>
  <c r="P17"/>
  <c r="P19"/>
  <c r="P24"/>
  <c r="P16"/>
  <c r="P18"/>
  <c r="P8"/>
  <c r="P31"/>
  <c r="P11"/>
  <c r="P39"/>
  <c r="P36"/>
  <c r="P37"/>
  <c r="P20"/>
  <c r="P34"/>
  <c r="P35"/>
  <c r="P33"/>
  <c r="P10"/>
  <c r="P21"/>
  <c r="P13"/>
  <c r="P40"/>
  <c r="P26"/>
  <c r="P12"/>
  <c r="P32"/>
  <c r="L47" l="1"/>
  <c r="M47" s="1"/>
  <c r="N47" s="1"/>
  <c r="L46"/>
  <c r="M46" s="1"/>
  <c r="N46" s="1"/>
  <c r="L44"/>
  <c r="L45"/>
  <c r="M45" s="1"/>
  <c r="N45" s="1"/>
  <c r="M44"/>
  <c r="N44" s="1"/>
  <c r="C42"/>
  <c r="H43" s="1"/>
  <c r="J43" s="1"/>
  <c r="L43" s="1"/>
  <c r="K41"/>
  <c r="J41"/>
  <c r="I41"/>
  <c r="H41"/>
  <c r="K40"/>
  <c r="J40"/>
  <c r="I40"/>
  <c r="H40"/>
  <c r="K39"/>
  <c r="J39"/>
  <c r="I39"/>
  <c r="H39"/>
  <c r="K38"/>
  <c r="J38"/>
  <c r="I38"/>
  <c r="H38"/>
  <c r="K37"/>
  <c r="J37"/>
  <c r="I37"/>
  <c r="H37"/>
  <c r="K36"/>
  <c r="J36"/>
  <c r="I36"/>
  <c r="H36"/>
  <c r="J35"/>
  <c r="I35"/>
  <c r="H35"/>
  <c r="J34"/>
  <c r="I34"/>
  <c r="H34"/>
  <c r="J33"/>
  <c r="I33"/>
  <c r="H33"/>
  <c r="J32"/>
  <c r="I32"/>
  <c r="H32"/>
  <c r="J31"/>
  <c r="I31"/>
  <c r="H31"/>
  <c r="J30"/>
  <c r="J42" s="1"/>
  <c r="I30"/>
  <c r="H30"/>
  <c r="C28"/>
  <c r="K14"/>
  <c r="J14"/>
  <c r="I14"/>
  <c r="H14"/>
  <c r="C14"/>
  <c r="H15" s="1"/>
  <c r="L13"/>
  <c r="M13" s="1"/>
  <c r="L12"/>
  <c r="M12" s="1"/>
  <c r="L11"/>
  <c r="M11" s="1"/>
  <c r="L10"/>
  <c r="M10" s="1"/>
  <c r="L9"/>
  <c r="M9" s="1"/>
  <c r="M8"/>
  <c r="L8"/>
  <c r="R40" i="1"/>
  <c r="T40"/>
  <c r="S40"/>
  <c r="T32"/>
  <c r="T31"/>
  <c r="T30"/>
  <c r="T33"/>
  <c r="T34"/>
  <c r="T35"/>
  <c r="T36"/>
  <c r="T37"/>
  <c r="T39"/>
  <c r="T38"/>
  <c r="T25"/>
  <c r="T26"/>
  <c r="T27"/>
  <c r="Q40"/>
  <c r="K40"/>
  <c r="J40"/>
  <c r="H31"/>
  <c r="H32"/>
  <c r="I32" s="1"/>
  <c r="H33"/>
  <c r="I33" s="1"/>
  <c r="H34"/>
  <c r="H35"/>
  <c r="H30"/>
  <c r="H37"/>
  <c r="H38"/>
  <c r="H39"/>
  <c r="H40"/>
  <c r="I40" s="1"/>
  <c r="H41"/>
  <c r="H36"/>
  <c r="I37"/>
  <c r="I38"/>
  <c r="I41"/>
  <c r="J41" s="1"/>
  <c r="K41" s="1"/>
  <c r="L41" s="1"/>
  <c r="N41" s="1"/>
  <c r="H48"/>
  <c r="D42"/>
  <c r="C42"/>
  <c r="W32"/>
  <c r="H28"/>
  <c r="G28"/>
  <c r="F28"/>
  <c r="E28"/>
  <c r="M32"/>
  <c r="M33"/>
  <c r="M34"/>
  <c r="M35"/>
  <c r="M36"/>
  <c r="M37"/>
  <c r="M38"/>
  <c r="M39"/>
  <c r="M40"/>
  <c r="M41"/>
  <c r="O32"/>
  <c r="O33"/>
  <c r="O34"/>
  <c r="O35"/>
  <c r="O36"/>
  <c r="O37"/>
  <c r="O38"/>
  <c r="O39"/>
  <c r="O40"/>
  <c r="O41"/>
  <c r="I34"/>
  <c r="I35"/>
  <c r="I39"/>
  <c r="G32"/>
  <c r="G33"/>
  <c r="G34"/>
  <c r="G35"/>
  <c r="G36"/>
  <c r="G37"/>
  <c r="G38"/>
  <c r="G39"/>
  <c r="G40"/>
  <c r="G41"/>
  <c r="F32"/>
  <c r="F33"/>
  <c r="F34"/>
  <c r="F35"/>
  <c r="F36"/>
  <c r="F37"/>
  <c r="F38"/>
  <c r="F39"/>
  <c r="F40"/>
  <c r="F41"/>
  <c r="E32"/>
  <c r="E33"/>
  <c r="E34"/>
  <c r="E35"/>
  <c r="E36"/>
  <c r="E37"/>
  <c r="E38"/>
  <c r="E39"/>
  <c r="E40"/>
  <c r="E41"/>
  <c r="D43"/>
  <c r="C43"/>
  <c r="M30"/>
  <c r="O31"/>
  <c r="M31"/>
  <c r="F31"/>
  <c r="G31"/>
  <c r="E31"/>
  <c r="F30"/>
  <c r="F16"/>
  <c r="D29"/>
  <c r="C29"/>
  <c r="D28"/>
  <c r="C28"/>
  <c r="O25"/>
  <c r="O26"/>
  <c r="O27"/>
  <c r="M25"/>
  <c r="M26"/>
  <c r="M27"/>
  <c r="O24"/>
  <c r="M24"/>
  <c r="O23"/>
  <c r="M23"/>
  <c r="O20"/>
  <c r="O21"/>
  <c r="O22"/>
  <c r="M20"/>
  <c r="M21"/>
  <c r="M22"/>
  <c r="O19"/>
  <c r="M19"/>
  <c r="F14"/>
  <c r="D14"/>
  <c r="E14"/>
  <c r="G14"/>
  <c r="H14"/>
  <c r="C14"/>
  <c r="C15"/>
  <c r="D15"/>
  <c r="M13"/>
  <c r="I13"/>
  <c r="J13" s="1"/>
  <c r="K13" s="1"/>
  <c r="L13" s="1"/>
  <c r="O13"/>
  <c r="O17"/>
  <c r="O18"/>
  <c r="M16"/>
  <c r="M17"/>
  <c r="M18"/>
  <c r="H7" i="2"/>
  <c r="H6"/>
  <c r="H5"/>
  <c r="H4"/>
  <c r="H3"/>
  <c r="G4"/>
  <c r="F4"/>
  <c r="F5"/>
  <c r="F6"/>
  <c r="F3"/>
  <c r="W14" i="1"/>
  <c r="O12"/>
  <c r="M12"/>
  <c r="I12"/>
  <c r="J12" s="1"/>
  <c r="K12" s="1"/>
  <c r="L12" s="1"/>
  <c r="D46"/>
  <c r="T45"/>
  <c r="T8"/>
  <c r="I10"/>
  <c r="J10" s="1"/>
  <c r="K10" s="1"/>
  <c r="L10" s="1"/>
  <c r="P10" s="1"/>
  <c r="Q10" s="1"/>
  <c r="I9"/>
  <c r="J9" s="1"/>
  <c r="K9" s="1"/>
  <c r="L9" s="1"/>
  <c r="N9" s="1"/>
  <c r="I8"/>
  <c r="J8" s="1"/>
  <c r="K8" s="1"/>
  <c r="I11"/>
  <c r="J11" s="1"/>
  <c r="K11" s="1"/>
  <c r="L11" s="1"/>
  <c r="P11" s="1"/>
  <c r="Q11" s="1"/>
  <c r="O10"/>
  <c r="O9"/>
  <c r="O11"/>
  <c r="M10"/>
  <c r="M9"/>
  <c r="M11"/>
  <c r="P46" i="5"/>
  <c r="P44"/>
  <c r="Q47" l="1"/>
  <c r="Q45"/>
  <c r="O46"/>
  <c r="O45"/>
  <c r="Q46"/>
  <c r="Q44"/>
  <c r="O44"/>
  <c r="O47"/>
  <c r="L14"/>
  <c r="H29"/>
  <c r="P29"/>
  <c r="I42"/>
  <c r="H42"/>
  <c r="N8"/>
  <c r="N10"/>
  <c r="O10" s="1"/>
  <c r="N9"/>
  <c r="N11"/>
  <c r="O11" s="1"/>
  <c r="J29"/>
  <c r="N12"/>
  <c r="O12" s="1"/>
  <c r="L37"/>
  <c r="M37" s="1"/>
  <c r="L39"/>
  <c r="M39" s="1"/>
  <c r="N13"/>
  <c r="L36"/>
  <c r="M36" s="1"/>
  <c r="L38"/>
  <c r="M38" s="1"/>
  <c r="L40"/>
  <c r="M40" s="1"/>
  <c r="L41"/>
  <c r="M41" s="1"/>
  <c r="O9"/>
  <c r="J15"/>
  <c r="L15" s="1"/>
  <c r="T28" i="1"/>
  <c r="J32"/>
  <c r="K32" s="1"/>
  <c r="L32" s="1"/>
  <c r="J33"/>
  <c r="K33" s="1"/>
  <c r="L33" s="1"/>
  <c r="J34"/>
  <c r="K34" s="1"/>
  <c r="L34" s="1"/>
  <c r="J35"/>
  <c r="K35" s="1"/>
  <c r="L35" s="1"/>
  <c r="J37"/>
  <c r="K37" s="1"/>
  <c r="L37" s="1"/>
  <c r="J38"/>
  <c r="K38" s="1"/>
  <c r="L38" s="1"/>
  <c r="J39"/>
  <c r="K39" s="1"/>
  <c r="L39" s="1"/>
  <c r="L40"/>
  <c r="P41"/>
  <c r="Q41" s="1"/>
  <c r="T41" s="1"/>
  <c r="U41" s="1"/>
  <c r="V41" s="1"/>
  <c r="X41" s="1"/>
  <c r="H42"/>
  <c r="I36"/>
  <c r="I31"/>
  <c r="J31" s="1"/>
  <c r="K31" s="1"/>
  <c r="L31" s="1"/>
  <c r="N31" s="1"/>
  <c r="G18"/>
  <c r="H20"/>
  <c r="F23"/>
  <c r="H26"/>
  <c r="F19"/>
  <c r="G22"/>
  <c r="E24"/>
  <c r="H25"/>
  <c r="E22"/>
  <c r="E25"/>
  <c r="H16"/>
  <c r="F20"/>
  <c r="G27"/>
  <c r="E17"/>
  <c r="F17"/>
  <c r="H17"/>
  <c r="G19"/>
  <c r="F21"/>
  <c r="H21"/>
  <c r="H22"/>
  <c r="G23"/>
  <c r="H24"/>
  <c r="E26"/>
  <c r="F25"/>
  <c r="H27"/>
  <c r="E18"/>
  <c r="F18"/>
  <c r="H18"/>
  <c r="H19"/>
  <c r="E20"/>
  <c r="G20"/>
  <c r="H23"/>
  <c r="G24"/>
  <c r="E27"/>
  <c r="F26"/>
  <c r="G25"/>
  <c r="E16"/>
  <c r="G16"/>
  <c r="G17"/>
  <c r="E19"/>
  <c r="E21"/>
  <c r="G21"/>
  <c r="F22"/>
  <c r="E23"/>
  <c r="F24"/>
  <c r="F27"/>
  <c r="G26"/>
  <c r="E29"/>
  <c r="G29" s="1"/>
  <c r="K29" s="1"/>
  <c r="E15"/>
  <c r="G15" s="1"/>
  <c r="K15" s="1"/>
  <c r="E30"/>
  <c r="P13"/>
  <c r="Q13" s="1"/>
  <c r="T13" s="1"/>
  <c r="U13" s="1"/>
  <c r="V13" s="1"/>
  <c r="X13" s="1"/>
  <c r="N13"/>
  <c r="I14"/>
  <c r="C44" s="1"/>
  <c r="C45" s="1"/>
  <c r="P12"/>
  <c r="Q12" s="1"/>
  <c r="T12" s="1"/>
  <c r="N12"/>
  <c r="U8"/>
  <c r="T10"/>
  <c r="U10" s="1"/>
  <c r="V10" s="1"/>
  <c r="X10" s="1"/>
  <c r="Y10" s="1"/>
  <c r="T11"/>
  <c r="P9"/>
  <c r="Q9" s="1"/>
  <c r="T9" s="1"/>
  <c r="N11"/>
  <c r="N10"/>
  <c r="H27" i="5" l="1"/>
  <c r="H26"/>
  <c r="H25"/>
  <c r="H24"/>
  <c r="H23"/>
  <c r="H22"/>
  <c r="H21"/>
  <c r="H20"/>
  <c r="H19"/>
  <c r="H18"/>
  <c r="H17"/>
  <c r="H16"/>
  <c r="I27"/>
  <c r="I26"/>
  <c r="I25"/>
  <c r="I24"/>
  <c r="I23"/>
  <c r="I22"/>
  <c r="I21"/>
  <c r="I20"/>
  <c r="I19"/>
  <c r="I18"/>
  <c r="I17"/>
  <c r="J27"/>
  <c r="J26"/>
  <c r="J25"/>
  <c r="J24"/>
  <c r="J23"/>
  <c r="J22"/>
  <c r="J21"/>
  <c r="J20"/>
  <c r="J19"/>
  <c r="J18"/>
  <c r="J17"/>
  <c r="J16"/>
  <c r="K35"/>
  <c r="L35" s="1"/>
  <c r="M35" s="1"/>
  <c r="N35" s="1"/>
  <c r="O35" s="1"/>
  <c r="K34"/>
  <c r="L34" s="1"/>
  <c r="M34" s="1"/>
  <c r="N34" s="1"/>
  <c r="K33"/>
  <c r="L33" s="1"/>
  <c r="M33" s="1"/>
  <c r="N33" s="1"/>
  <c r="K32"/>
  <c r="L32" s="1"/>
  <c r="M32" s="1"/>
  <c r="K31"/>
  <c r="L31" s="1"/>
  <c r="M31" s="1"/>
  <c r="O31" s="1"/>
  <c r="K30"/>
  <c r="K27"/>
  <c r="K26"/>
  <c r="K25"/>
  <c r="K24"/>
  <c r="K23"/>
  <c r="K22"/>
  <c r="K21"/>
  <c r="K20"/>
  <c r="K19"/>
  <c r="K18"/>
  <c r="K17"/>
  <c r="K16"/>
  <c r="Q13"/>
  <c r="Q12"/>
  <c r="Q9"/>
  <c r="Q8"/>
  <c r="Q11"/>
  <c r="Q10"/>
  <c r="N37"/>
  <c r="O37" s="1"/>
  <c r="N41"/>
  <c r="O41" s="1"/>
  <c r="N36"/>
  <c r="O36" s="1"/>
  <c r="N39"/>
  <c r="O39" s="1"/>
  <c r="N38"/>
  <c r="O38" s="1"/>
  <c r="N32"/>
  <c r="O32" s="1"/>
  <c r="N40"/>
  <c r="O40" s="1"/>
  <c r="O13"/>
  <c r="N32" i="1"/>
  <c r="P32"/>
  <c r="Q32" s="1"/>
  <c r="U32" s="1"/>
  <c r="V32" s="1"/>
  <c r="X32" s="1"/>
  <c r="N34"/>
  <c r="P34"/>
  <c r="Q34" s="1"/>
  <c r="U34" s="1"/>
  <c r="V34" s="1"/>
  <c r="X34" s="1"/>
  <c r="N35"/>
  <c r="P35"/>
  <c r="Q35" s="1"/>
  <c r="U35" s="1"/>
  <c r="V35" s="1"/>
  <c r="X35" s="1"/>
  <c r="P33"/>
  <c r="Q33" s="1"/>
  <c r="U33" s="1"/>
  <c r="V33" s="1"/>
  <c r="X33" s="1"/>
  <c r="N33"/>
  <c r="P31"/>
  <c r="Q31" s="1"/>
  <c r="J36"/>
  <c r="K36" s="1"/>
  <c r="L36" s="1"/>
  <c r="N39"/>
  <c r="P39"/>
  <c r="Q39" s="1"/>
  <c r="U39" s="1"/>
  <c r="V39" s="1"/>
  <c r="X39" s="1"/>
  <c r="P37"/>
  <c r="Q37" s="1"/>
  <c r="U37" s="1"/>
  <c r="V37" s="1"/>
  <c r="X37" s="1"/>
  <c r="N37"/>
  <c r="P38"/>
  <c r="Q38" s="1"/>
  <c r="U38" s="1"/>
  <c r="V38" s="1"/>
  <c r="X38" s="1"/>
  <c r="N38"/>
  <c r="P40"/>
  <c r="N40"/>
  <c r="I20"/>
  <c r="J20" s="1"/>
  <c r="K20" s="1"/>
  <c r="L20" s="1"/>
  <c r="P20" s="1"/>
  <c r="Q20" s="1"/>
  <c r="T20" s="1"/>
  <c r="U20" s="1"/>
  <c r="V20" s="1"/>
  <c r="X20" s="1"/>
  <c r="Y20" s="1"/>
  <c r="I17"/>
  <c r="J17" s="1"/>
  <c r="K17" s="1"/>
  <c r="L17" s="1"/>
  <c r="N17" s="1"/>
  <c r="I19"/>
  <c r="J19" s="1"/>
  <c r="K19" s="1"/>
  <c r="L19" s="1"/>
  <c r="I16"/>
  <c r="I18"/>
  <c r="J18" s="1"/>
  <c r="K18" s="1"/>
  <c r="L18" s="1"/>
  <c r="N18" s="1"/>
  <c r="I22"/>
  <c r="J22" s="1"/>
  <c r="K22" s="1"/>
  <c r="L22" s="1"/>
  <c r="N22" s="1"/>
  <c r="I25"/>
  <c r="J25" s="1"/>
  <c r="K25" s="1"/>
  <c r="L25" s="1"/>
  <c r="N25" s="1"/>
  <c r="I24"/>
  <c r="J24" s="1"/>
  <c r="K24" s="1"/>
  <c r="L24" s="1"/>
  <c r="N24" s="1"/>
  <c r="I27"/>
  <c r="J27" s="1"/>
  <c r="K27" s="1"/>
  <c r="L27" s="1"/>
  <c r="N27" s="1"/>
  <c r="I23"/>
  <c r="J23" s="1"/>
  <c r="K23" s="1"/>
  <c r="L23" s="1"/>
  <c r="I26"/>
  <c r="J26" s="1"/>
  <c r="K26" s="1"/>
  <c r="L26" s="1"/>
  <c r="P26" s="1"/>
  <c r="Q26" s="1"/>
  <c r="U26" s="1"/>
  <c r="V26" s="1"/>
  <c r="X26" s="1"/>
  <c r="Y26" s="1"/>
  <c r="N20"/>
  <c r="I21"/>
  <c r="J21" s="1"/>
  <c r="K21" s="1"/>
  <c r="L21" s="1"/>
  <c r="G30"/>
  <c r="I30" s="1"/>
  <c r="J30" s="1"/>
  <c r="K30" s="1"/>
  <c r="L30" s="1"/>
  <c r="N30" s="1"/>
  <c r="O30" s="1"/>
  <c r="U30" s="1"/>
  <c r="V30" s="1"/>
  <c r="X30" s="1"/>
  <c r="T14"/>
  <c r="U12"/>
  <c r="U9"/>
  <c r="V9" s="1"/>
  <c r="V8"/>
  <c r="M47" s="1"/>
  <c r="M48" s="1"/>
  <c r="U11"/>
  <c r="L30" i="5" l="1"/>
  <c r="M30" s="1"/>
  <c r="N30" s="1"/>
  <c r="K42"/>
  <c r="L27"/>
  <c r="M27" s="1"/>
  <c r="N27" s="1"/>
  <c r="K28"/>
  <c r="L18"/>
  <c r="M18" s="1"/>
  <c r="N18" s="1"/>
  <c r="O18" s="1"/>
  <c r="L22"/>
  <c r="M22" s="1"/>
  <c r="N22" s="1"/>
  <c r="L26"/>
  <c r="M26" s="1"/>
  <c r="N26" s="1"/>
  <c r="L23"/>
  <c r="M23" s="1"/>
  <c r="N23" s="1"/>
  <c r="L17"/>
  <c r="M17" s="1"/>
  <c r="N17" s="1"/>
  <c r="L21"/>
  <c r="M21" s="1"/>
  <c r="N21" s="1"/>
  <c r="L25"/>
  <c r="M25" s="1"/>
  <c r="N25" s="1"/>
  <c r="L16"/>
  <c r="M16" s="1"/>
  <c r="N16" s="1"/>
  <c r="O16" s="1"/>
  <c r="H28"/>
  <c r="L19"/>
  <c r="M19" s="1"/>
  <c r="N19" s="1"/>
  <c r="J28"/>
  <c r="I28"/>
  <c r="L20"/>
  <c r="M20" s="1"/>
  <c r="N20" s="1"/>
  <c r="O20" s="1"/>
  <c r="L24"/>
  <c r="M24" s="1"/>
  <c r="N24" s="1"/>
  <c r="Q32"/>
  <c r="Q34"/>
  <c r="Q35"/>
  <c r="Q33"/>
  <c r="Q41"/>
  <c r="Q37"/>
  <c r="Q31"/>
  <c r="Q36"/>
  <c r="Q40"/>
  <c r="Q38"/>
  <c r="Q39"/>
  <c r="O27"/>
  <c r="O34"/>
  <c r="O33"/>
  <c r="Q14"/>
  <c r="U40" i="1"/>
  <c r="V40" s="1"/>
  <c r="U31"/>
  <c r="V31" s="1"/>
  <c r="X31" s="1"/>
  <c r="N36"/>
  <c r="P36"/>
  <c r="Q36" s="1"/>
  <c r="P18"/>
  <c r="Q18" s="1"/>
  <c r="T18" s="1"/>
  <c r="U18" s="1"/>
  <c r="V18" s="1"/>
  <c r="X18" s="1"/>
  <c r="Y18" s="1"/>
  <c r="P24"/>
  <c r="Q24" s="1"/>
  <c r="T24" s="1"/>
  <c r="P17"/>
  <c r="Q17" s="1"/>
  <c r="T17" s="1"/>
  <c r="U17" s="1"/>
  <c r="V17" s="1"/>
  <c r="X17" s="1"/>
  <c r="Y17" s="1"/>
  <c r="P22"/>
  <c r="Q22" s="1"/>
  <c r="T22" s="1"/>
  <c r="U22" s="1"/>
  <c r="V22" s="1"/>
  <c r="X22" s="1"/>
  <c r="Y22" s="1"/>
  <c r="P27"/>
  <c r="Q27" s="1"/>
  <c r="U27" s="1"/>
  <c r="V27" s="1"/>
  <c r="X27" s="1"/>
  <c r="Y27" s="1"/>
  <c r="P25"/>
  <c r="Q25" s="1"/>
  <c r="U25" s="1"/>
  <c r="J16"/>
  <c r="K16" s="1"/>
  <c r="L16" s="1"/>
  <c r="N16" s="1"/>
  <c r="O16" s="1"/>
  <c r="T16" s="1"/>
  <c r="U16" s="1"/>
  <c r="V16" s="1"/>
  <c r="X16" s="1"/>
  <c r="Y16" s="1"/>
  <c r="N21"/>
  <c r="P21"/>
  <c r="Q21" s="1"/>
  <c r="T21" s="1"/>
  <c r="U21" s="1"/>
  <c r="V21" s="1"/>
  <c r="X21" s="1"/>
  <c r="Y21" s="1"/>
  <c r="N26"/>
  <c r="P23"/>
  <c r="Q23" s="1"/>
  <c r="T23" s="1"/>
  <c r="U23" s="1"/>
  <c r="V23" s="1"/>
  <c r="X23" s="1"/>
  <c r="Y23" s="1"/>
  <c r="AA23" s="1"/>
  <c r="N23"/>
  <c r="U24"/>
  <c r="V24" s="1"/>
  <c r="X24" s="1"/>
  <c r="Y24" s="1"/>
  <c r="AA24" s="1"/>
  <c r="N19"/>
  <c r="P19"/>
  <c r="Q19" s="1"/>
  <c r="T19" s="1"/>
  <c r="U19" s="1"/>
  <c r="V19" s="1"/>
  <c r="X19" s="1"/>
  <c r="Y19" s="1"/>
  <c r="X9"/>
  <c r="Y9"/>
  <c r="V12"/>
  <c r="U14"/>
  <c r="Y14" s="1"/>
  <c r="V11"/>
  <c r="X11" s="1"/>
  <c r="Y11" s="1"/>
  <c r="Q20" i="5" l="1"/>
  <c r="Q19"/>
  <c r="Q26"/>
  <c r="Q23"/>
  <c r="O24"/>
  <c r="O17"/>
  <c r="Q24"/>
  <c r="O30"/>
  <c r="O19"/>
  <c r="O21"/>
  <c r="O22"/>
  <c r="O25"/>
  <c r="O26"/>
  <c r="O23"/>
  <c r="Q17"/>
  <c r="Q21"/>
  <c r="Q30"/>
  <c r="Q42" s="1"/>
  <c r="Q22"/>
  <c r="Q25"/>
  <c r="Q27"/>
  <c r="Q16"/>
  <c r="Q18"/>
  <c r="V25" i="1"/>
  <c r="U28"/>
  <c r="T42"/>
  <c r="U36"/>
  <c r="X40"/>
  <c r="X12"/>
  <c r="Y12" s="1"/>
  <c r="V14"/>
  <c r="Q28" i="5" l="1"/>
  <c r="S44" s="1"/>
  <c r="X25" i="1"/>
  <c r="Y25" s="1"/>
  <c r="V28"/>
  <c r="V36"/>
  <c r="U42"/>
  <c r="X36" l="1"/>
  <c r="V42"/>
</calcChain>
</file>

<file path=xl/sharedStrings.xml><?xml version="1.0" encoding="utf-8"?>
<sst xmlns="http://schemas.openxmlformats.org/spreadsheetml/2006/main" count="27" uniqueCount="26">
  <si>
    <t>card</t>
  </si>
  <si>
    <t>EE Pension Insurance</t>
  </si>
  <si>
    <t>EE Medical Insurance</t>
  </si>
  <si>
    <t>EE Unemployment Ins</t>
  </si>
  <si>
    <t>EE Housing Fund</t>
  </si>
  <si>
    <t>sharesave</t>
  </si>
  <si>
    <t>threshold</t>
  </si>
  <si>
    <t>Pension</t>
  </si>
  <si>
    <t>Medical</t>
  </si>
  <si>
    <t>Housing</t>
  </si>
  <si>
    <t>Tax</t>
  </si>
  <si>
    <t>D-Total</t>
  </si>
  <si>
    <t>Income</t>
  </si>
  <si>
    <t>Other</t>
  </si>
  <si>
    <t>Payment</t>
  </si>
  <si>
    <t>Y</t>
  </si>
  <si>
    <t>M</t>
  </si>
  <si>
    <t>Taxable</t>
  </si>
  <si>
    <t>OT</t>
  </si>
  <si>
    <t>Bonus</t>
  </si>
  <si>
    <t>HT/LT</t>
  </si>
  <si>
    <t>UE</t>
  </si>
  <si>
    <t>Total</t>
  </si>
  <si>
    <t>Return</t>
  </si>
  <si>
    <t>Tax Rate</t>
  </si>
  <si>
    <t>Award(Mouse)</t>
  </si>
</sst>
</file>

<file path=xl/styles.xml><?xml version="1.0" encoding="utf-8"?>
<styleSheet xmlns="http://schemas.openxmlformats.org/spreadsheetml/2006/main">
  <numFmts count="1">
    <numFmt numFmtId="164" formatCode="_ [$¥-804]* #,##0.00_ ;_ [$¥-804]* \-#,##0.00_ ;_ [$¥-804]* &quot;-&quot;??_ ;_ @_ "/>
  </numFmts>
  <fonts count="5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3" tint="0.59999389629810485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medium">
        <color rgb="FFFFFFFF"/>
      </left>
      <right/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9" fontId="0" fillId="0" borderId="0" xfId="0" applyNumberFormat="1"/>
    <xf numFmtId="0" fontId="0" fillId="2" borderId="0" xfId="0" applyFill="1"/>
    <xf numFmtId="0" fontId="1" fillId="0" borderId="0" xfId="0" applyFont="1"/>
    <xf numFmtId="0" fontId="0" fillId="0" borderId="1" xfId="0" applyBorder="1" applyAlignment="1">
      <alignment horizontal="left"/>
    </xf>
    <xf numFmtId="0" fontId="0" fillId="0" borderId="0" xfId="0" applyAlignment="1">
      <alignment horizontal="right"/>
    </xf>
    <xf numFmtId="2" fontId="0" fillId="0" borderId="0" xfId="0" applyNumberForma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0" xfId="0" applyFont="1" applyFill="1"/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Fill="1"/>
    <xf numFmtId="164" fontId="0" fillId="0" borderId="0" xfId="0" applyNumberFormat="1"/>
    <xf numFmtId="164" fontId="0" fillId="2" borderId="0" xfId="0" applyNumberFormat="1" applyFill="1"/>
    <xf numFmtId="1" fontId="1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/>
    <xf numFmtId="9" fontId="2" fillId="0" borderId="0" xfId="0" applyNumberFormat="1" applyFont="1"/>
    <xf numFmtId="0" fontId="2" fillId="2" borderId="0" xfId="0" applyFont="1" applyFill="1"/>
    <xf numFmtId="2" fontId="2" fillId="0" borderId="0" xfId="0" applyNumberFormat="1" applyFont="1"/>
    <xf numFmtId="0" fontId="3" fillId="0" borderId="0" xfId="0" applyFont="1"/>
    <xf numFmtId="9" fontId="3" fillId="0" borderId="0" xfId="0" applyNumberFormat="1" applyFont="1"/>
    <xf numFmtId="0" fontId="3" fillId="2" borderId="0" xfId="0" applyFont="1" applyFill="1"/>
    <xf numFmtId="2" fontId="3" fillId="0" borderId="0" xfId="0" applyNumberFormat="1" applyFont="1"/>
    <xf numFmtId="2" fontId="3" fillId="2" borderId="0" xfId="0" applyNumberFormat="1" applyFont="1" applyFill="1"/>
    <xf numFmtId="0" fontId="4" fillId="0" borderId="0" xfId="0" applyFont="1"/>
    <xf numFmtId="0" fontId="4" fillId="2" borderId="0" xfId="0" applyFont="1" applyFill="1"/>
    <xf numFmtId="2" fontId="4" fillId="0" borderId="0" xfId="0" applyNumberFormat="1" applyFont="1"/>
    <xf numFmtId="1" fontId="3" fillId="0" borderId="0" xfId="0" applyNumberFormat="1" applyFont="1"/>
    <xf numFmtId="1" fontId="1" fillId="0" borderId="0" xfId="0" applyNumberFormat="1" applyFont="1" applyAlignment="1"/>
    <xf numFmtId="2" fontId="0" fillId="2" borderId="0" xfId="0" applyNumberFormat="1" applyFill="1"/>
    <xf numFmtId="2" fontId="1" fillId="2" borderId="0" xfId="0" applyNumberFormat="1" applyFont="1" applyFill="1"/>
    <xf numFmtId="2" fontId="1" fillId="2" borderId="0" xfId="0" applyNumberFormat="1" applyFont="1" applyFill="1" applyAlignment="1">
      <alignment horizontal="center"/>
    </xf>
    <xf numFmtId="0" fontId="0" fillId="0" borderId="0" xfId="0" applyAlignment="1">
      <alignment horizontal="center" vertical="center"/>
    </xf>
    <xf numFmtId="1" fontId="1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0" fontId="2" fillId="0" borderId="0" xfId="0" applyNumberFormat="1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4:AA48"/>
  <sheetViews>
    <sheetView topLeftCell="A32" workbookViewId="0">
      <selection activeCell="A58" sqref="A58"/>
    </sheetView>
  </sheetViews>
  <sheetFormatPr defaultRowHeight="15"/>
  <cols>
    <col min="1" max="1" width="5" bestFit="1" customWidth="1"/>
    <col min="2" max="2" width="3" bestFit="1" customWidth="1"/>
    <col min="3" max="3" width="9.85546875" bestFit="1" customWidth="1"/>
    <col min="4" max="4" width="9" bestFit="1" customWidth="1"/>
    <col min="5" max="5" width="9" style="17" bestFit="1" customWidth="1"/>
    <col min="6" max="7" width="8" style="17" bestFit="1" customWidth="1"/>
    <col min="8" max="8" width="9" style="21" bestFit="1" customWidth="1"/>
    <col min="9" max="9" width="7.5703125" style="26" bestFit="1" customWidth="1"/>
    <col min="10" max="11" width="8.5703125" bestFit="1" customWidth="1"/>
    <col min="12" max="14" width="9" bestFit="1" customWidth="1"/>
    <col min="15" max="16" width="8" bestFit="1" customWidth="1"/>
    <col min="17" max="17" width="9" bestFit="1" customWidth="1"/>
    <col min="18" max="19" width="9" customWidth="1"/>
    <col min="20" max="20" width="10" bestFit="1" customWidth="1"/>
    <col min="21" max="21" width="10" style="2" bestFit="1" customWidth="1"/>
    <col min="22" max="22" width="11" bestFit="1" customWidth="1"/>
    <col min="23" max="23" width="9" bestFit="1" customWidth="1"/>
    <col min="24" max="24" width="11" bestFit="1" customWidth="1"/>
    <col min="25" max="25" width="10" bestFit="1" customWidth="1"/>
    <col min="26" max="26" width="7" bestFit="1" customWidth="1"/>
    <col min="27" max="27" width="9" bestFit="1" customWidth="1"/>
  </cols>
  <sheetData>
    <row r="4" spans="1:25">
      <c r="C4" t="s">
        <v>5</v>
      </c>
      <c r="D4">
        <v>2391</v>
      </c>
    </row>
    <row r="5" spans="1:25">
      <c r="X5" s="13"/>
    </row>
    <row r="6" spans="1:25">
      <c r="F6" s="17">
        <v>260</v>
      </c>
      <c r="M6">
        <v>0</v>
      </c>
      <c r="O6">
        <v>105</v>
      </c>
      <c r="Q6">
        <v>555</v>
      </c>
      <c r="S6">
        <v>1005</v>
      </c>
      <c r="X6" s="13"/>
    </row>
    <row r="7" spans="1:25">
      <c r="E7" s="18">
        <v>0.08</v>
      </c>
      <c r="F7" s="18">
        <v>0.02</v>
      </c>
      <c r="G7" s="18">
        <v>0.01</v>
      </c>
      <c r="H7" s="22">
        <v>0.13</v>
      </c>
      <c r="L7">
        <v>3500</v>
      </c>
      <c r="M7" s="1">
        <v>0.03</v>
      </c>
      <c r="N7">
        <v>1500</v>
      </c>
      <c r="O7" s="1">
        <v>0.1</v>
      </c>
      <c r="P7">
        <v>4500</v>
      </c>
      <c r="Q7" s="1">
        <v>0.2</v>
      </c>
      <c r="R7">
        <v>9000</v>
      </c>
      <c r="S7" s="1">
        <v>0.25</v>
      </c>
      <c r="W7" t="s">
        <v>0</v>
      </c>
      <c r="X7" s="13"/>
    </row>
    <row r="8" spans="1:25">
      <c r="A8" s="34">
        <v>2013</v>
      </c>
      <c r="B8">
        <v>7</v>
      </c>
      <c r="C8">
        <v>6217.39</v>
      </c>
      <c r="D8">
        <v>65.569999999999993</v>
      </c>
      <c r="E8" s="17">
        <v>880</v>
      </c>
      <c r="F8" s="17">
        <v>480</v>
      </c>
      <c r="G8" s="17">
        <v>110</v>
      </c>
      <c r="H8" s="21">
        <v>1430</v>
      </c>
      <c r="I8" s="26">
        <f t="shared" ref="I8" si="0">E8+F8+G8+H8</f>
        <v>2900</v>
      </c>
      <c r="J8">
        <f t="shared" ref="J8" si="1">C8-I8</f>
        <v>3317.3900000000003</v>
      </c>
      <c r="K8">
        <f>J8+D8</f>
        <v>3382.9600000000005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T8">
        <f>M8+O8+Q8</f>
        <v>0</v>
      </c>
      <c r="U8" s="2">
        <f t="shared" ref="U8" si="2">C8-I8-T8</f>
        <v>3317.3900000000003</v>
      </c>
      <c r="V8">
        <f>U8</f>
        <v>3317.3900000000003</v>
      </c>
      <c r="X8" s="13"/>
    </row>
    <row r="9" spans="1:25">
      <c r="A9" s="34"/>
      <c r="B9">
        <v>8</v>
      </c>
      <c r="C9">
        <v>11000</v>
      </c>
      <c r="D9">
        <v>116</v>
      </c>
      <c r="E9" s="17">
        <v>880</v>
      </c>
      <c r="F9" s="17">
        <v>220</v>
      </c>
      <c r="G9" s="17">
        <v>110</v>
      </c>
      <c r="H9" s="21">
        <v>1430</v>
      </c>
      <c r="I9" s="26">
        <f>E9+F9+G9+H9</f>
        <v>2640</v>
      </c>
      <c r="J9">
        <f>C9-I9</f>
        <v>8360</v>
      </c>
      <c r="K9">
        <f>J9+D9</f>
        <v>8476</v>
      </c>
      <c r="L9">
        <f>K9-$L$7</f>
        <v>4976</v>
      </c>
      <c r="M9">
        <f t="shared" ref="M9:M10" si="3">$M$7*$N$7</f>
        <v>45</v>
      </c>
      <c r="N9">
        <f>L9-$N$7</f>
        <v>3476</v>
      </c>
      <c r="O9">
        <f t="shared" ref="O9:O10" si="4">$O$7*($P$7-$N$7)</f>
        <v>300</v>
      </c>
      <c r="P9">
        <f>L9-$P$7</f>
        <v>476</v>
      </c>
      <c r="Q9">
        <f>$Q$7*P9</f>
        <v>95.2</v>
      </c>
      <c r="T9">
        <f>M9+O9+Q9</f>
        <v>440.2</v>
      </c>
      <c r="U9" s="2">
        <f>C9-I9-T9</f>
        <v>7919.8</v>
      </c>
      <c r="V9">
        <f t="shared" ref="V9:V10" si="5">U9</f>
        <v>7919.8</v>
      </c>
      <c r="W9">
        <v>10742.17</v>
      </c>
      <c r="X9" s="13">
        <f>U8+U9</f>
        <v>11237.19</v>
      </c>
      <c r="Y9">
        <f>W9-V9-V8</f>
        <v>-495.02000000000044</v>
      </c>
    </row>
    <row r="10" spans="1:25">
      <c r="A10" s="34"/>
      <c r="B10">
        <v>9</v>
      </c>
      <c r="C10">
        <v>11000</v>
      </c>
      <c r="D10">
        <v>116</v>
      </c>
      <c r="E10" s="17">
        <v>880</v>
      </c>
      <c r="F10" s="17">
        <v>220</v>
      </c>
      <c r="G10" s="17">
        <v>110</v>
      </c>
      <c r="H10" s="21">
        <v>1430</v>
      </c>
      <c r="I10" s="26">
        <f>E10+F10+G10+H10</f>
        <v>2640</v>
      </c>
      <c r="J10">
        <f>C10-I10</f>
        <v>8360</v>
      </c>
      <c r="K10">
        <f>J10+D10</f>
        <v>8476</v>
      </c>
      <c r="L10">
        <f>K10-$L$7</f>
        <v>4976</v>
      </c>
      <c r="M10">
        <f t="shared" si="3"/>
        <v>45</v>
      </c>
      <c r="N10">
        <f t="shared" ref="N10" si="6">L10-$N$7</f>
        <v>3476</v>
      </c>
      <c r="O10">
        <f t="shared" si="4"/>
        <v>300</v>
      </c>
      <c r="P10">
        <f t="shared" ref="P10" si="7">L10-$P$7</f>
        <v>476</v>
      </c>
      <c r="Q10">
        <f t="shared" ref="Q10" si="8">$Q$7*P10</f>
        <v>95.2</v>
      </c>
      <c r="T10">
        <f>M10+O10+Q10</f>
        <v>440.2</v>
      </c>
      <c r="U10" s="2">
        <f>C10-I10-T10</f>
        <v>7919.8</v>
      </c>
      <c r="V10">
        <f t="shared" si="5"/>
        <v>7919.8</v>
      </c>
      <c r="W10">
        <v>8035.8</v>
      </c>
      <c r="X10" s="13">
        <f>V10</f>
        <v>7919.8</v>
      </c>
      <c r="Y10">
        <f>W10-X10</f>
        <v>116</v>
      </c>
    </row>
    <row r="11" spans="1:25">
      <c r="A11" s="34"/>
      <c r="B11">
        <v>10</v>
      </c>
      <c r="C11">
        <v>11000</v>
      </c>
      <c r="D11">
        <v>840.89</v>
      </c>
      <c r="E11" s="17">
        <v>880</v>
      </c>
      <c r="F11" s="17">
        <v>220</v>
      </c>
      <c r="G11" s="17">
        <v>110</v>
      </c>
      <c r="H11" s="21">
        <v>1430</v>
      </c>
      <c r="I11" s="26">
        <f>E11+F11+G11+H11</f>
        <v>2640</v>
      </c>
      <c r="J11">
        <f>C11-I11</f>
        <v>8360</v>
      </c>
      <c r="K11">
        <f>J11</f>
        <v>8360</v>
      </c>
      <c r="L11">
        <f>K11-$L$7</f>
        <v>4860</v>
      </c>
      <c r="M11">
        <f>$M$7*$N$7</f>
        <v>45</v>
      </c>
      <c r="N11">
        <f>L11-$N$7</f>
        <v>3360</v>
      </c>
      <c r="O11">
        <f>$O$7*($P$7-$N$7)</f>
        <v>300</v>
      </c>
      <c r="P11">
        <f>L11-$P$7</f>
        <v>360</v>
      </c>
      <c r="Q11">
        <f>$Q$7*P11</f>
        <v>72</v>
      </c>
      <c r="T11">
        <f t="shared" ref="T11:T17" si="9">M11+O11+Q11</f>
        <v>417</v>
      </c>
      <c r="U11" s="2">
        <f>C11-I11-T11</f>
        <v>7943</v>
      </c>
      <c r="V11">
        <f>U11+D11</f>
        <v>8783.89</v>
      </c>
      <c r="W11">
        <v>8783.89</v>
      </c>
      <c r="X11" s="13">
        <f>V11</f>
        <v>8783.89</v>
      </c>
      <c r="Y11">
        <f>W11-X11</f>
        <v>0</v>
      </c>
    </row>
    <row r="12" spans="1:25">
      <c r="A12" s="34"/>
      <c r="B12">
        <v>11</v>
      </c>
      <c r="C12">
        <v>11000</v>
      </c>
      <c r="D12">
        <v>0</v>
      </c>
      <c r="E12" s="17">
        <v>880</v>
      </c>
      <c r="F12" s="17">
        <v>220</v>
      </c>
      <c r="G12" s="17">
        <v>110</v>
      </c>
      <c r="H12" s="21">
        <v>1430</v>
      </c>
      <c r="I12" s="26">
        <f>E12+F12+G12+H12</f>
        <v>2640</v>
      </c>
      <c r="J12">
        <f>C12-I12</f>
        <v>8360</v>
      </c>
      <c r="K12">
        <f>J12+D12</f>
        <v>8360</v>
      </c>
      <c r="L12">
        <f>K12-$L$7</f>
        <v>4860</v>
      </c>
      <c r="M12">
        <f>$M$7*$N$7</f>
        <v>45</v>
      </c>
      <c r="N12">
        <f>L12-$N$7</f>
        <v>3360</v>
      </c>
      <c r="O12">
        <f>$O$7*($P$7-$N$7)</f>
        <v>300</v>
      </c>
      <c r="P12">
        <f>L12-$P$7</f>
        <v>360</v>
      </c>
      <c r="Q12">
        <f>$Q$7*P12</f>
        <v>72</v>
      </c>
      <c r="T12">
        <f t="shared" si="9"/>
        <v>417</v>
      </c>
      <c r="U12" s="2">
        <f>C12-I12-T12</f>
        <v>7943</v>
      </c>
      <c r="V12">
        <f>U12</f>
        <v>7943</v>
      </c>
      <c r="W12">
        <v>7943</v>
      </c>
      <c r="X12" s="13">
        <f>V12</f>
        <v>7943</v>
      </c>
      <c r="Y12">
        <f>W12-X12</f>
        <v>0</v>
      </c>
    </row>
    <row r="13" spans="1:25">
      <c r="A13" s="34"/>
      <c r="B13">
        <v>12</v>
      </c>
      <c r="C13">
        <v>11000</v>
      </c>
      <c r="D13">
        <v>0</v>
      </c>
      <c r="E13" s="17">
        <v>880</v>
      </c>
      <c r="F13" s="17">
        <v>220</v>
      </c>
      <c r="G13" s="17">
        <v>110</v>
      </c>
      <c r="H13" s="21">
        <v>1430</v>
      </c>
      <c r="I13" s="26">
        <f>E13+F13+G13+H13</f>
        <v>2640</v>
      </c>
      <c r="J13">
        <f>C13-I13</f>
        <v>8360</v>
      </c>
      <c r="K13">
        <f>J13+D13</f>
        <v>8360</v>
      </c>
      <c r="L13">
        <f>K13-$L$7</f>
        <v>4860</v>
      </c>
      <c r="M13">
        <f>$M$7*$N$7</f>
        <v>45</v>
      </c>
      <c r="N13">
        <f>L13-$N$7</f>
        <v>3360</v>
      </c>
      <c r="O13">
        <f>$O$7*($P$7-$N$7)</f>
        <v>300</v>
      </c>
      <c r="P13">
        <f t="shared" ref="P13:P27" si="10">L13-$P$7</f>
        <v>360</v>
      </c>
      <c r="Q13">
        <f t="shared" ref="Q13:Q27" si="11">$Q$7*P13</f>
        <v>72</v>
      </c>
      <c r="T13">
        <f t="shared" si="9"/>
        <v>417</v>
      </c>
      <c r="U13" s="2">
        <f t="shared" ref="U13:U27" si="12">C13-I13-T13</f>
        <v>7943</v>
      </c>
      <c r="V13">
        <f t="shared" ref="V13:V17" si="13">U13</f>
        <v>7943</v>
      </c>
      <c r="W13">
        <v>7943</v>
      </c>
      <c r="X13" s="13">
        <f t="shared" ref="X13:X27" si="14">V13</f>
        <v>7943</v>
      </c>
    </row>
    <row r="14" spans="1:25" s="2" customFormat="1">
      <c r="C14" s="2">
        <f>SUM(C8:C13)</f>
        <v>61217.39</v>
      </c>
      <c r="D14" s="2">
        <f t="shared" ref="D14:H14" si="15">SUM(D8:D13)</f>
        <v>1138.46</v>
      </c>
      <c r="E14" s="19">
        <f t="shared" si="15"/>
        <v>5280</v>
      </c>
      <c r="F14" s="19">
        <f>SUM(F6:F13)</f>
        <v>1840.02</v>
      </c>
      <c r="G14" s="19">
        <f t="shared" si="15"/>
        <v>660</v>
      </c>
      <c r="H14" s="23">
        <f t="shared" si="15"/>
        <v>8580</v>
      </c>
      <c r="I14" s="27">
        <f>SUM(I8:I12)</f>
        <v>13460</v>
      </c>
      <c r="T14" s="2">
        <f>SUM(T8:T12)</f>
        <v>1714.4</v>
      </c>
      <c r="U14" s="2">
        <f>SUM(U8:U12)</f>
        <v>35042.990000000005</v>
      </c>
      <c r="V14" s="9">
        <f>SUM(V8:V12)</f>
        <v>35883.880000000005</v>
      </c>
      <c r="W14" s="2">
        <f>SUM(W9:W12)</f>
        <v>35504.86</v>
      </c>
      <c r="X14" s="14"/>
      <c r="Y14" s="2">
        <f>W14-U14</f>
        <v>461.86999999999534</v>
      </c>
    </row>
    <row r="15" spans="1:25" s="3" customFormat="1">
      <c r="A15" s="7"/>
      <c r="C15" s="3">
        <f>SUM(C8:C13)</f>
        <v>61217.39</v>
      </c>
      <c r="D15" s="3">
        <f>SUM(D8:D13)</f>
        <v>1138.46</v>
      </c>
      <c r="E15" s="36">
        <f>C15+D15</f>
        <v>62355.85</v>
      </c>
      <c r="F15" s="36"/>
      <c r="G15" s="37">
        <f>E15/5</f>
        <v>12471.17</v>
      </c>
      <c r="H15" s="37"/>
      <c r="I15" s="35">
        <v>12471</v>
      </c>
      <c r="J15" s="35"/>
      <c r="K15" s="35">
        <f>G15</f>
        <v>12471.17</v>
      </c>
      <c r="L15" s="35"/>
      <c r="P15"/>
      <c r="Q15"/>
      <c r="R15"/>
      <c r="S15"/>
      <c r="T15"/>
      <c r="U15" s="2"/>
      <c r="V15"/>
      <c r="W15"/>
      <c r="X15" s="13"/>
    </row>
    <row r="16" spans="1:25">
      <c r="A16" s="34">
        <v>2014</v>
      </c>
      <c r="B16">
        <v>1</v>
      </c>
      <c r="C16">
        <v>11000</v>
      </c>
      <c r="D16">
        <v>0</v>
      </c>
      <c r="E16" s="20">
        <f>$I$15*$E$7</f>
        <v>997.68000000000006</v>
      </c>
      <c r="F16" s="20">
        <f>$I$15*$F$7+F6</f>
        <v>509.42</v>
      </c>
      <c r="G16" s="20">
        <f>$I$15*$G$7</f>
        <v>124.71000000000001</v>
      </c>
      <c r="H16" s="24">
        <f>$I$15*$H$7</f>
        <v>1621.23</v>
      </c>
      <c r="I16" s="28">
        <f>SUM(E16:H16)</f>
        <v>3253.04</v>
      </c>
      <c r="J16" s="6">
        <f>C16-I16</f>
        <v>7746.96</v>
      </c>
      <c r="K16" s="6">
        <f>J16+D16</f>
        <v>7746.96</v>
      </c>
      <c r="L16">
        <f t="shared" ref="L16:L18" si="16">K16-$L$7</f>
        <v>4246.96</v>
      </c>
      <c r="M16">
        <f t="shared" ref="M16:M27" si="17">$M$7*$N$7</f>
        <v>45</v>
      </c>
      <c r="N16">
        <f t="shared" ref="N16:N27" si="18">L16-$N$7</f>
        <v>2746.96</v>
      </c>
      <c r="O16">
        <f>N16*$O$7</f>
        <v>274.69600000000003</v>
      </c>
      <c r="T16">
        <f t="shared" si="9"/>
        <v>319.69600000000003</v>
      </c>
      <c r="U16" s="2">
        <f t="shared" si="12"/>
        <v>7427.2640000000001</v>
      </c>
      <c r="V16">
        <f t="shared" si="13"/>
        <v>7427.2640000000001</v>
      </c>
      <c r="X16" s="13">
        <f t="shared" si="14"/>
        <v>7427.2640000000001</v>
      </c>
      <c r="Y16">
        <f t="shared" ref="Y16:Y26" si="19">X16-$D$4</f>
        <v>5036.2640000000001</v>
      </c>
    </row>
    <row r="17" spans="1:27">
      <c r="A17" s="34"/>
      <c r="B17">
        <v>2</v>
      </c>
      <c r="C17">
        <v>11000</v>
      </c>
      <c r="D17">
        <v>185</v>
      </c>
      <c r="E17" s="20">
        <f>$I$15*$E$7</f>
        <v>997.68000000000006</v>
      </c>
      <c r="F17" s="20">
        <f>$I$15*$F$7</f>
        <v>249.42000000000002</v>
      </c>
      <c r="G17" s="20">
        <f>$I$15*$G$7</f>
        <v>124.71000000000001</v>
      </c>
      <c r="H17" s="24">
        <f>$I$15*$H$7</f>
        <v>1621.23</v>
      </c>
      <c r="I17" s="28">
        <f t="shared" ref="I17:I18" si="20">SUM(E17:H17)</f>
        <v>2993.04</v>
      </c>
      <c r="J17" s="6">
        <f t="shared" ref="J17:J18" si="21">C17-I17</f>
        <v>8006.96</v>
      </c>
      <c r="K17" s="6">
        <f t="shared" ref="K17" si="22">J17+D17</f>
        <v>8191.96</v>
      </c>
      <c r="L17">
        <f t="shared" si="16"/>
        <v>4691.96</v>
      </c>
      <c r="M17">
        <f t="shared" si="17"/>
        <v>45</v>
      </c>
      <c r="N17">
        <f t="shared" si="18"/>
        <v>3191.96</v>
      </c>
      <c r="O17">
        <f t="shared" ref="O17:O27" si="23">$O$7*($P$7-$N$7)</f>
        <v>300</v>
      </c>
      <c r="P17">
        <f t="shared" si="10"/>
        <v>191.96000000000004</v>
      </c>
      <c r="Q17">
        <f t="shared" si="11"/>
        <v>38.39200000000001</v>
      </c>
      <c r="T17">
        <f t="shared" si="9"/>
        <v>383.392</v>
      </c>
      <c r="U17" s="2">
        <f t="shared" si="12"/>
        <v>7623.5680000000002</v>
      </c>
      <c r="V17">
        <f t="shared" si="13"/>
        <v>7623.5680000000002</v>
      </c>
      <c r="X17" s="13">
        <f t="shared" si="14"/>
        <v>7623.5680000000002</v>
      </c>
      <c r="Y17">
        <f t="shared" si="19"/>
        <v>5232.5680000000002</v>
      </c>
    </row>
    <row r="18" spans="1:27">
      <c r="A18" s="34"/>
      <c r="B18">
        <v>3</v>
      </c>
      <c r="C18">
        <v>11000</v>
      </c>
      <c r="D18">
        <v>12000</v>
      </c>
      <c r="E18" s="20">
        <f>$I$15*$E$7</f>
        <v>997.68000000000006</v>
      </c>
      <c r="F18" s="20">
        <f>$I$15*$F$7</f>
        <v>249.42000000000002</v>
      </c>
      <c r="G18" s="20">
        <f>$I$15*$G$7</f>
        <v>124.71000000000001</v>
      </c>
      <c r="H18" s="24">
        <f>$I$15*$H$7</f>
        <v>1621.23</v>
      </c>
      <c r="I18" s="28">
        <f t="shared" si="20"/>
        <v>2993.04</v>
      </c>
      <c r="J18" s="6">
        <f t="shared" si="21"/>
        <v>8006.96</v>
      </c>
      <c r="K18" s="6">
        <f>J18</f>
        <v>8006.96</v>
      </c>
      <c r="L18">
        <f t="shared" si="16"/>
        <v>4506.96</v>
      </c>
      <c r="M18">
        <f t="shared" si="17"/>
        <v>45</v>
      </c>
      <c r="N18">
        <f t="shared" si="18"/>
        <v>3006.96</v>
      </c>
      <c r="O18">
        <f t="shared" si="23"/>
        <v>300</v>
      </c>
      <c r="P18">
        <f t="shared" si="10"/>
        <v>6.9600000000000364</v>
      </c>
      <c r="Q18">
        <f t="shared" si="11"/>
        <v>1.3920000000000075</v>
      </c>
      <c r="T18">
        <f>M18+O18+Q18+D18*3%</f>
        <v>706.39200000000005</v>
      </c>
      <c r="U18" s="2">
        <f t="shared" si="12"/>
        <v>7300.5680000000002</v>
      </c>
      <c r="V18">
        <f>U18+D18</f>
        <v>19300.567999999999</v>
      </c>
      <c r="X18" s="13">
        <f t="shared" si="14"/>
        <v>19300.567999999999</v>
      </c>
      <c r="Y18">
        <f t="shared" si="19"/>
        <v>16909.567999999999</v>
      </c>
    </row>
    <row r="19" spans="1:27">
      <c r="A19" s="34"/>
      <c r="B19">
        <v>4</v>
      </c>
      <c r="C19">
        <v>11000</v>
      </c>
      <c r="D19">
        <v>0</v>
      </c>
      <c r="E19" s="20">
        <f>$I$15*$E$7</f>
        <v>997.68000000000006</v>
      </c>
      <c r="F19" s="20">
        <f>$I$15*$F$7</f>
        <v>249.42000000000002</v>
      </c>
      <c r="G19" s="20">
        <f>$I$15*$G$7</f>
        <v>124.71000000000001</v>
      </c>
      <c r="H19" s="24">
        <f>$I$15*$H$7</f>
        <v>1621.23</v>
      </c>
      <c r="I19" s="28">
        <f t="shared" ref="I19:I22" si="24">SUM(E19:H19)</f>
        <v>2993.04</v>
      </c>
      <c r="J19" s="6">
        <f t="shared" ref="J19:J22" si="25">C19-I19</f>
        <v>8006.96</v>
      </c>
      <c r="K19" s="6">
        <f>J19+D19</f>
        <v>8006.96</v>
      </c>
      <c r="L19">
        <f t="shared" ref="L19:L22" si="26">K19-$L$7</f>
        <v>4506.96</v>
      </c>
      <c r="M19">
        <f t="shared" si="17"/>
        <v>45</v>
      </c>
      <c r="N19">
        <f t="shared" si="18"/>
        <v>3006.96</v>
      </c>
      <c r="O19">
        <f t="shared" si="23"/>
        <v>300</v>
      </c>
      <c r="P19">
        <f t="shared" si="10"/>
        <v>6.9600000000000364</v>
      </c>
      <c r="Q19">
        <f t="shared" si="11"/>
        <v>1.3920000000000075</v>
      </c>
      <c r="T19">
        <f>M19+O19+Q19</f>
        <v>346.392</v>
      </c>
      <c r="U19" s="2">
        <f t="shared" si="12"/>
        <v>7660.5680000000002</v>
      </c>
      <c r="V19">
        <f>U19+D19</f>
        <v>7660.5680000000002</v>
      </c>
      <c r="X19" s="13">
        <f t="shared" si="14"/>
        <v>7660.5680000000002</v>
      </c>
      <c r="Y19">
        <f t="shared" si="19"/>
        <v>5269.5680000000002</v>
      </c>
    </row>
    <row r="20" spans="1:27">
      <c r="A20" s="34"/>
      <c r="B20">
        <v>5</v>
      </c>
      <c r="C20">
        <v>11000</v>
      </c>
      <c r="D20">
        <v>0</v>
      </c>
      <c r="E20" s="20">
        <f t="shared" ref="E20:E27" si="27">$I$15*$E$7</f>
        <v>997.68000000000006</v>
      </c>
      <c r="F20" s="20">
        <f t="shared" ref="F20:F27" si="28">$I$15*$F$7</f>
        <v>249.42000000000002</v>
      </c>
      <c r="G20" s="20">
        <f t="shared" ref="G20:G27" si="29">$I$15*$G$7</f>
        <v>124.71000000000001</v>
      </c>
      <c r="H20" s="24">
        <f t="shared" ref="H20:H27" si="30">$I$15*$H$7</f>
        <v>1621.23</v>
      </c>
      <c r="I20" s="28">
        <f t="shared" si="24"/>
        <v>2993.04</v>
      </c>
      <c r="J20" s="6">
        <f t="shared" si="25"/>
        <v>8006.96</v>
      </c>
      <c r="K20" s="6">
        <f t="shared" ref="K20:K22" si="31">J20+D20</f>
        <v>8006.96</v>
      </c>
      <c r="L20">
        <f t="shared" si="26"/>
        <v>4506.96</v>
      </c>
      <c r="M20">
        <f t="shared" si="17"/>
        <v>45</v>
      </c>
      <c r="N20">
        <f t="shared" si="18"/>
        <v>3006.96</v>
      </c>
      <c r="O20">
        <f t="shared" si="23"/>
        <v>300</v>
      </c>
      <c r="P20">
        <f t="shared" si="10"/>
        <v>6.9600000000000364</v>
      </c>
      <c r="Q20">
        <f t="shared" si="11"/>
        <v>1.3920000000000075</v>
      </c>
      <c r="T20">
        <f t="shared" ref="T20:T22" si="32">M20+O20+Q20</f>
        <v>346.392</v>
      </c>
      <c r="U20" s="2">
        <f t="shared" si="12"/>
        <v>7660.5680000000002</v>
      </c>
      <c r="V20">
        <f t="shared" ref="V20:V27" si="33">U20+D20</f>
        <v>7660.5680000000002</v>
      </c>
      <c r="X20" s="13">
        <f t="shared" si="14"/>
        <v>7660.5680000000002</v>
      </c>
      <c r="Y20">
        <f t="shared" si="19"/>
        <v>5269.5680000000002</v>
      </c>
    </row>
    <row r="21" spans="1:27">
      <c r="A21" s="34"/>
      <c r="B21">
        <v>6</v>
      </c>
      <c r="C21">
        <v>11000</v>
      </c>
      <c r="D21">
        <v>128</v>
      </c>
      <c r="E21" s="20">
        <f t="shared" si="27"/>
        <v>997.68000000000006</v>
      </c>
      <c r="F21" s="20">
        <f t="shared" si="28"/>
        <v>249.42000000000002</v>
      </c>
      <c r="G21" s="20">
        <f t="shared" si="29"/>
        <v>124.71000000000001</v>
      </c>
      <c r="H21" s="24">
        <f t="shared" si="30"/>
        <v>1621.23</v>
      </c>
      <c r="I21" s="28">
        <f t="shared" si="24"/>
        <v>2993.04</v>
      </c>
      <c r="J21" s="6">
        <f t="shared" si="25"/>
        <v>8006.96</v>
      </c>
      <c r="K21" s="6">
        <f t="shared" si="31"/>
        <v>8134.96</v>
      </c>
      <c r="L21">
        <f t="shared" si="26"/>
        <v>4634.96</v>
      </c>
      <c r="M21">
        <f t="shared" si="17"/>
        <v>45</v>
      </c>
      <c r="N21">
        <f t="shared" si="18"/>
        <v>3134.96</v>
      </c>
      <c r="O21">
        <f t="shared" si="23"/>
        <v>300</v>
      </c>
      <c r="P21">
        <f t="shared" si="10"/>
        <v>134.96000000000004</v>
      </c>
      <c r="Q21">
        <f t="shared" si="11"/>
        <v>26.992000000000008</v>
      </c>
      <c r="T21">
        <f t="shared" si="32"/>
        <v>371.99200000000002</v>
      </c>
      <c r="U21" s="2">
        <f t="shared" si="12"/>
        <v>7634.9679999999998</v>
      </c>
      <c r="V21">
        <f t="shared" si="33"/>
        <v>7762.9679999999998</v>
      </c>
      <c r="X21" s="13">
        <f t="shared" si="14"/>
        <v>7762.9679999999998</v>
      </c>
      <c r="Y21">
        <f t="shared" si="19"/>
        <v>5371.9679999999998</v>
      </c>
    </row>
    <row r="22" spans="1:27">
      <c r="A22" s="34"/>
      <c r="B22">
        <v>7</v>
      </c>
      <c r="C22">
        <v>11000</v>
      </c>
      <c r="D22">
        <v>128</v>
      </c>
      <c r="E22" s="20">
        <f t="shared" si="27"/>
        <v>997.68000000000006</v>
      </c>
      <c r="F22" s="20">
        <f t="shared" si="28"/>
        <v>249.42000000000002</v>
      </c>
      <c r="G22" s="20">
        <f t="shared" si="29"/>
        <v>124.71000000000001</v>
      </c>
      <c r="H22" s="24">
        <f t="shared" si="30"/>
        <v>1621.23</v>
      </c>
      <c r="I22" s="28">
        <f t="shared" si="24"/>
        <v>2993.04</v>
      </c>
      <c r="J22" s="6">
        <f t="shared" si="25"/>
        <v>8006.96</v>
      </c>
      <c r="K22" s="6">
        <f t="shared" si="31"/>
        <v>8134.96</v>
      </c>
      <c r="L22">
        <f t="shared" si="26"/>
        <v>4634.96</v>
      </c>
      <c r="M22">
        <f t="shared" si="17"/>
        <v>45</v>
      </c>
      <c r="N22">
        <f t="shared" si="18"/>
        <v>3134.96</v>
      </c>
      <c r="O22">
        <f t="shared" si="23"/>
        <v>300</v>
      </c>
      <c r="P22">
        <f t="shared" si="10"/>
        <v>134.96000000000004</v>
      </c>
      <c r="Q22">
        <f t="shared" si="11"/>
        <v>26.992000000000008</v>
      </c>
      <c r="T22">
        <f t="shared" si="32"/>
        <v>371.99200000000002</v>
      </c>
      <c r="U22" s="2">
        <f t="shared" si="12"/>
        <v>7634.9679999999998</v>
      </c>
      <c r="V22">
        <f t="shared" si="33"/>
        <v>7762.9679999999998</v>
      </c>
      <c r="X22" s="13">
        <f t="shared" si="14"/>
        <v>7762.9679999999998</v>
      </c>
      <c r="Y22">
        <f t="shared" si="19"/>
        <v>5371.9679999999998</v>
      </c>
    </row>
    <row r="23" spans="1:27">
      <c r="A23" s="34"/>
      <c r="B23">
        <v>8</v>
      </c>
      <c r="C23">
        <v>11000</v>
      </c>
      <c r="D23">
        <v>128</v>
      </c>
      <c r="E23" s="20">
        <f t="shared" si="27"/>
        <v>997.68000000000006</v>
      </c>
      <c r="F23" s="20">
        <f t="shared" si="28"/>
        <v>249.42000000000002</v>
      </c>
      <c r="G23" s="20">
        <f t="shared" si="29"/>
        <v>124.71000000000001</v>
      </c>
      <c r="H23" s="24">
        <f t="shared" si="30"/>
        <v>1621.23</v>
      </c>
      <c r="I23" s="28">
        <f t="shared" ref="I23:I27" si="34">SUM(E23:H23)</f>
        <v>2993.04</v>
      </c>
      <c r="J23" s="6">
        <f t="shared" ref="J23:J27" si="35">C23-I23</f>
        <v>8006.96</v>
      </c>
      <c r="K23" s="6">
        <f t="shared" ref="K23:K27" si="36">J23+D23</f>
        <v>8134.96</v>
      </c>
      <c r="L23">
        <f t="shared" ref="L23:L27" si="37">K23-$L$7</f>
        <v>4634.96</v>
      </c>
      <c r="M23">
        <f t="shared" si="17"/>
        <v>45</v>
      </c>
      <c r="N23">
        <f t="shared" si="18"/>
        <v>3134.96</v>
      </c>
      <c r="O23">
        <f t="shared" si="23"/>
        <v>300</v>
      </c>
      <c r="P23">
        <f t="shared" si="10"/>
        <v>134.96000000000004</v>
      </c>
      <c r="Q23">
        <f t="shared" si="11"/>
        <v>26.992000000000008</v>
      </c>
      <c r="T23">
        <f>M23+O23+Q23+Z23*$Q$7</f>
        <v>473.14200000000005</v>
      </c>
      <c r="U23" s="2">
        <f t="shared" si="12"/>
        <v>7533.8180000000002</v>
      </c>
      <c r="V23">
        <f t="shared" si="33"/>
        <v>7661.8180000000002</v>
      </c>
      <c r="X23" s="13">
        <f t="shared" si="14"/>
        <v>7661.8180000000002</v>
      </c>
      <c r="Y23">
        <f t="shared" si="19"/>
        <v>5270.8180000000002</v>
      </c>
      <c r="Z23">
        <v>505.75</v>
      </c>
      <c r="AA23">
        <f>Y23+Z23*(1-$Q$7)</f>
        <v>5675.4180000000006</v>
      </c>
    </row>
    <row r="24" spans="1:27">
      <c r="A24" s="34"/>
      <c r="B24">
        <v>9</v>
      </c>
      <c r="C24">
        <v>11000</v>
      </c>
      <c r="D24">
        <v>128</v>
      </c>
      <c r="E24" s="20">
        <f t="shared" si="27"/>
        <v>997.68000000000006</v>
      </c>
      <c r="F24" s="20">
        <f t="shared" si="28"/>
        <v>249.42000000000002</v>
      </c>
      <c r="G24" s="20">
        <f t="shared" si="29"/>
        <v>124.71000000000001</v>
      </c>
      <c r="H24" s="24">
        <f t="shared" si="30"/>
        <v>1621.23</v>
      </c>
      <c r="I24" s="28">
        <f t="shared" si="34"/>
        <v>2993.04</v>
      </c>
      <c r="J24" s="6">
        <f t="shared" si="35"/>
        <v>8006.96</v>
      </c>
      <c r="K24" s="6">
        <f t="shared" si="36"/>
        <v>8134.96</v>
      </c>
      <c r="L24">
        <f t="shared" si="37"/>
        <v>4634.96</v>
      </c>
      <c r="M24">
        <f t="shared" si="17"/>
        <v>45</v>
      </c>
      <c r="N24">
        <f t="shared" si="18"/>
        <v>3134.96</v>
      </c>
      <c r="O24">
        <f t="shared" si="23"/>
        <v>300</v>
      </c>
      <c r="P24">
        <f t="shared" si="10"/>
        <v>134.96000000000004</v>
      </c>
      <c r="Q24">
        <f t="shared" si="11"/>
        <v>26.992000000000008</v>
      </c>
      <c r="T24">
        <f>M24+O24+Q24+Z24*$Q$7</f>
        <v>473.14200000000005</v>
      </c>
      <c r="U24" s="2">
        <f t="shared" si="12"/>
        <v>7533.8180000000002</v>
      </c>
      <c r="V24">
        <f t="shared" si="33"/>
        <v>7661.8180000000002</v>
      </c>
      <c r="X24" s="13">
        <f t="shared" si="14"/>
        <v>7661.8180000000002</v>
      </c>
      <c r="Y24">
        <f t="shared" si="19"/>
        <v>5270.8180000000002</v>
      </c>
      <c r="Z24">
        <v>505.75</v>
      </c>
      <c r="AA24">
        <f>Y24+Z24*(1-$Q$7)</f>
        <v>5675.4180000000006</v>
      </c>
    </row>
    <row r="25" spans="1:27">
      <c r="A25" s="34"/>
      <c r="B25">
        <v>10</v>
      </c>
      <c r="C25">
        <v>11000</v>
      </c>
      <c r="D25">
        <v>0</v>
      </c>
      <c r="E25" s="20">
        <f t="shared" si="27"/>
        <v>997.68000000000006</v>
      </c>
      <c r="F25" s="20">
        <f t="shared" si="28"/>
        <v>249.42000000000002</v>
      </c>
      <c r="G25" s="20">
        <f t="shared" si="29"/>
        <v>124.71000000000001</v>
      </c>
      <c r="H25" s="24">
        <f t="shared" si="30"/>
        <v>1621.23</v>
      </c>
      <c r="I25" s="28">
        <f t="shared" si="34"/>
        <v>2993.04</v>
      </c>
      <c r="J25" s="6">
        <f t="shared" si="35"/>
        <v>8006.96</v>
      </c>
      <c r="K25" s="6">
        <f t="shared" si="36"/>
        <v>8006.96</v>
      </c>
      <c r="L25">
        <f t="shared" si="37"/>
        <v>4506.96</v>
      </c>
      <c r="M25">
        <f t="shared" si="17"/>
        <v>45</v>
      </c>
      <c r="N25">
        <f t="shared" si="18"/>
        <v>3006.96</v>
      </c>
      <c r="O25">
        <f t="shared" si="23"/>
        <v>300</v>
      </c>
      <c r="P25">
        <f t="shared" si="10"/>
        <v>6.9600000000000364</v>
      </c>
      <c r="Q25">
        <f t="shared" si="11"/>
        <v>1.3920000000000075</v>
      </c>
      <c r="T25">
        <f>M25+O25+Q25+Z25*$Q$7</f>
        <v>346.392</v>
      </c>
      <c r="U25" s="2">
        <f t="shared" si="12"/>
        <v>7660.5680000000002</v>
      </c>
      <c r="V25">
        <f t="shared" si="33"/>
        <v>7660.5680000000002</v>
      </c>
      <c r="X25" s="13">
        <f t="shared" si="14"/>
        <v>7660.5680000000002</v>
      </c>
      <c r="Y25">
        <f t="shared" si="19"/>
        <v>5269.5680000000002</v>
      </c>
    </row>
    <row r="26" spans="1:27">
      <c r="A26" s="34"/>
      <c r="B26">
        <v>11</v>
      </c>
      <c r="C26">
        <v>11000</v>
      </c>
      <c r="D26">
        <v>0</v>
      </c>
      <c r="E26" s="20">
        <f t="shared" si="27"/>
        <v>997.68000000000006</v>
      </c>
      <c r="F26" s="20">
        <f t="shared" si="28"/>
        <v>249.42000000000002</v>
      </c>
      <c r="G26" s="20">
        <f t="shared" si="29"/>
        <v>124.71000000000001</v>
      </c>
      <c r="H26" s="24">
        <f t="shared" si="30"/>
        <v>1621.23</v>
      </c>
      <c r="I26" s="28">
        <f t="shared" si="34"/>
        <v>2993.04</v>
      </c>
      <c r="J26" s="6">
        <f t="shared" si="35"/>
        <v>8006.96</v>
      </c>
      <c r="K26" s="6">
        <f t="shared" si="36"/>
        <v>8006.96</v>
      </c>
      <c r="L26">
        <f t="shared" si="37"/>
        <v>4506.96</v>
      </c>
      <c r="M26">
        <f t="shared" si="17"/>
        <v>45</v>
      </c>
      <c r="N26">
        <f t="shared" si="18"/>
        <v>3006.96</v>
      </c>
      <c r="O26">
        <f t="shared" si="23"/>
        <v>300</v>
      </c>
      <c r="P26">
        <f t="shared" si="10"/>
        <v>6.9600000000000364</v>
      </c>
      <c r="Q26">
        <f t="shared" si="11"/>
        <v>1.3920000000000075</v>
      </c>
      <c r="T26">
        <f>M26+O26+Q26+Z26*$Q$7</f>
        <v>346.392</v>
      </c>
      <c r="U26" s="2">
        <f t="shared" si="12"/>
        <v>7660.5680000000002</v>
      </c>
      <c r="V26">
        <f t="shared" si="33"/>
        <v>7660.5680000000002</v>
      </c>
      <c r="X26" s="13">
        <f t="shared" si="14"/>
        <v>7660.5680000000002</v>
      </c>
      <c r="Y26">
        <f t="shared" si="19"/>
        <v>5269.5680000000002</v>
      </c>
    </row>
    <row r="27" spans="1:27">
      <c r="A27" s="34"/>
      <c r="B27">
        <v>12</v>
      </c>
      <c r="C27">
        <v>11000</v>
      </c>
      <c r="D27">
        <v>0</v>
      </c>
      <c r="E27" s="20">
        <f t="shared" si="27"/>
        <v>997.68000000000006</v>
      </c>
      <c r="F27" s="20">
        <f t="shared" si="28"/>
        <v>249.42000000000002</v>
      </c>
      <c r="G27" s="20">
        <f t="shared" si="29"/>
        <v>124.71000000000001</v>
      </c>
      <c r="H27" s="24">
        <f t="shared" si="30"/>
        <v>1621.23</v>
      </c>
      <c r="I27" s="28">
        <f t="shared" si="34"/>
        <v>2993.04</v>
      </c>
      <c r="J27" s="6">
        <f t="shared" si="35"/>
        <v>8006.96</v>
      </c>
      <c r="K27" s="6">
        <f t="shared" si="36"/>
        <v>8006.96</v>
      </c>
      <c r="L27">
        <f t="shared" si="37"/>
        <v>4506.96</v>
      </c>
      <c r="M27">
        <f t="shared" si="17"/>
        <v>45</v>
      </c>
      <c r="N27">
        <f t="shared" si="18"/>
        <v>3006.96</v>
      </c>
      <c r="O27">
        <f t="shared" si="23"/>
        <v>300</v>
      </c>
      <c r="P27">
        <f t="shared" si="10"/>
        <v>6.9600000000000364</v>
      </c>
      <c r="Q27">
        <f t="shared" si="11"/>
        <v>1.3920000000000075</v>
      </c>
      <c r="T27">
        <f>M27+O27+Q27+Z27*$Q$7</f>
        <v>346.392</v>
      </c>
      <c r="U27" s="2">
        <f t="shared" si="12"/>
        <v>7660.5680000000002</v>
      </c>
      <c r="V27">
        <f t="shared" si="33"/>
        <v>7660.5680000000002</v>
      </c>
      <c r="X27" s="13">
        <f t="shared" si="14"/>
        <v>7660.5680000000002</v>
      </c>
      <c r="Y27">
        <f>X27</f>
        <v>7660.5680000000002</v>
      </c>
    </row>
    <row r="28" spans="1:27" s="2" customFormat="1">
      <c r="A28" s="10"/>
      <c r="C28" s="2">
        <f>SUM(C16:C27)</f>
        <v>132000</v>
      </c>
      <c r="D28" s="2">
        <f>SUM(D16:D27)+Z23+Z24</f>
        <v>13708.5</v>
      </c>
      <c r="E28" s="19">
        <f>SUM(E16:E27)</f>
        <v>11972.160000000002</v>
      </c>
      <c r="F28" s="19">
        <f>SUM(F16:F27)</f>
        <v>3253.0400000000004</v>
      </c>
      <c r="G28" s="19">
        <f>SUM(G16:G27)</f>
        <v>1496.5200000000002</v>
      </c>
      <c r="H28" s="23">
        <f>SUM(H16:H27)</f>
        <v>19454.759999999998</v>
      </c>
      <c r="I28" s="27"/>
      <c r="T28" s="2">
        <f>SUM(T16:T27)</f>
        <v>4831.7079999999996</v>
      </c>
      <c r="U28" s="2">
        <f>SUM(U16:U27)</f>
        <v>90991.812000000005</v>
      </c>
      <c r="V28" s="2">
        <f>SUM(V16:V27)</f>
        <v>103503.81200000001</v>
      </c>
      <c r="X28" s="14"/>
    </row>
    <row r="29" spans="1:27">
      <c r="A29" s="11"/>
      <c r="C29" s="12">
        <f>SUM(C16:C27)</f>
        <v>132000</v>
      </c>
      <c r="D29" s="12">
        <f>D18+Z23+Z24</f>
        <v>13011.5</v>
      </c>
      <c r="E29" s="36">
        <f>C29+D29</f>
        <v>145011.5</v>
      </c>
      <c r="F29" s="36"/>
      <c r="G29" s="37">
        <f>E29/12</f>
        <v>12084.291666666666</v>
      </c>
      <c r="H29" s="37"/>
      <c r="I29" s="35">
        <v>12084</v>
      </c>
      <c r="J29" s="35"/>
      <c r="K29" s="35">
        <f>G29</f>
        <v>12084.291666666666</v>
      </c>
      <c r="L29" s="35"/>
      <c r="X29" s="13"/>
    </row>
    <row r="30" spans="1:27">
      <c r="A30" s="34">
        <v>2015</v>
      </c>
      <c r="B30">
        <v>1</v>
      </c>
      <c r="C30">
        <v>11000</v>
      </c>
      <c r="D30">
        <v>0</v>
      </c>
      <c r="E30" s="20">
        <f>$I$29*$E$7</f>
        <v>966.72</v>
      </c>
      <c r="F30" s="17">
        <f>$I$29*$F$7+$F$6</f>
        <v>501.68</v>
      </c>
      <c r="G30" s="20">
        <f>$I$29*$G$7</f>
        <v>120.84</v>
      </c>
      <c r="H30" s="21">
        <f>ROUND($I$15*$H$7,0)</f>
        <v>1621</v>
      </c>
      <c r="I30" s="28">
        <f t="shared" ref="I30:I41" si="38">SUM(E30:H30)</f>
        <v>3210.24</v>
      </c>
      <c r="J30" s="6">
        <f t="shared" ref="J30:J41" si="39">C30-I30</f>
        <v>7789.76</v>
      </c>
      <c r="K30" s="6">
        <f t="shared" ref="K30" si="40">J30+D30</f>
        <v>7789.76</v>
      </c>
      <c r="L30">
        <f t="shared" ref="L30:L41" si="41">K30-$L$7</f>
        <v>4289.76</v>
      </c>
      <c r="M30">
        <f t="shared" ref="M30:M41" si="42">$M$7*$N$7</f>
        <v>45</v>
      </c>
      <c r="N30">
        <f t="shared" ref="N30:N41" si="43">L30-$N$7</f>
        <v>2789.76</v>
      </c>
      <c r="O30">
        <f>N30*$O$7</f>
        <v>278.97600000000006</v>
      </c>
      <c r="T30">
        <f>M30+O30+Q30</f>
        <v>323.97600000000006</v>
      </c>
      <c r="U30" s="2">
        <f t="shared" ref="U30:U41" si="44">C30-I30-T30</f>
        <v>7465.7840000000006</v>
      </c>
      <c r="V30">
        <f t="shared" ref="V30:V41" si="45">U30+D30</f>
        <v>7465.7840000000006</v>
      </c>
      <c r="X30" s="13">
        <f t="shared" ref="X30" si="46">V30</f>
        <v>7465.7840000000006</v>
      </c>
    </row>
    <row r="31" spans="1:27">
      <c r="A31" s="34"/>
      <c r="B31">
        <v>2</v>
      </c>
      <c r="C31">
        <v>11000</v>
      </c>
      <c r="D31">
        <v>520</v>
      </c>
      <c r="E31" s="20">
        <f>$I$29*$E$7</f>
        <v>966.72</v>
      </c>
      <c r="F31" s="17">
        <f>$I$29*$F$7</f>
        <v>241.68</v>
      </c>
      <c r="G31" s="20">
        <f>$I$29*$G$7</f>
        <v>120.84</v>
      </c>
      <c r="H31" s="21">
        <f t="shared" ref="H31:H35" si="47">ROUND($I$15*$H$7,0)</f>
        <v>1621</v>
      </c>
      <c r="I31" s="28">
        <f t="shared" si="38"/>
        <v>2950.24</v>
      </c>
      <c r="J31" s="6">
        <f t="shared" si="39"/>
        <v>8049.76</v>
      </c>
      <c r="K31" s="6">
        <f>J31</f>
        <v>8049.76</v>
      </c>
      <c r="L31">
        <f t="shared" si="41"/>
        <v>4549.76</v>
      </c>
      <c r="M31">
        <f t="shared" si="42"/>
        <v>45</v>
      </c>
      <c r="N31">
        <f t="shared" si="43"/>
        <v>3049.76</v>
      </c>
      <c r="O31">
        <f t="shared" ref="O31:O41" si="48">$O$7*($P$7-$N$7)</f>
        <v>300</v>
      </c>
      <c r="P31">
        <f t="shared" ref="P31:P41" si="49">L31-$P$7</f>
        <v>49.760000000000218</v>
      </c>
      <c r="Q31">
        <f t="shared" ref="Q31:Q41" si="50">$Q$7*P31</f>
        <v>9.9520000000000444</v>
      </c>
      <c r="T31">
        <f>M31+O31+Q31+W31*$Q$7</f>
        <v>464.55200000000008</v>
      </c>
      <c r="U31" s="2">
        <f t="shared" si="44"/>
        <v>7585.2080000000005</v>
      </c>
      <c r="V31">
        <f t="shared" si="45"/>
        <v>8105.2080000000005</v>
      </c>
      <c r="W31">
        <v>548</v>
      </c>
      <c r="X31" s="13">
        <f>V31</f>
        <v>8105.2080000000005</v>
      </c>
    </row>
    <row r="32" spans="1:27">
      <c r="A32" s="34"/>
      <c r="B32">
        <v>3</v>
      </c>
      <c r="C32">
        <v>11000</v>
      </c>
      <c r="D32">
        <v>26000</v>
      </c>
      <c r="E32" s="20">
        <f t="shared" ref="E32:E41" si="51">$I$29*$E$7</f>
        <v>966.72</v>
      </c>
      <c r="F32" s="17">
        <f t="shared" ref="F32:F41" si="52">$I$29*$F$7</f>
        <v>241.68</v>
      </c>
      <c r="G32" s="20">
        <f t="shared" ref="G32:G41" si="53">$I$29*$G$7</f>
        <v>120.84</v>
      </c>
      <c r="H32" s="21">
        <f t="shared" si="47"/>
        <v>1621</v>
      </c>
      <c r="I32" s="28">
        <f t="shared" si="38"/>
        <v>2950.24</v>
      </c>
      <c r="J32" s="6">
        <f t="shared" si="39"/>
        <v>8049.76</v>
      </c>
      <c r="K32" s="6">
        <f t="shared" ref="K32:K41" si="54">J32</f>
        <v>8049.76</v>
      </c>
      <c r="L32">
        <f t="shared" si="41"/>
        <v>4549.76</v>
      </c>
      <c r="M32">
        <f t="shared" si="42"/>
        <v>45</v>
      </c>
      <c r="N32">
        <f t="shared" si="43"/>
        <v>3049.76</v>
      </c>
      <c r="O32">
        <f t="shared" si="48"/>
        <v>300</v>
      </c>
      <c r="P32">
        <f t="shared" si="49"/>
        <v>49.760000000000218</v>
      </c>
      <c r="Q32">
        <f t="shared" si="50"/>
        <v>9.9520000000000444</v>
      </c>
      <c r="T32">
        <f>M32+O32+Q32+W32</f>
        <v>2849.9520000000002</v>
      </c>
      <c r="U32" s="2">
        <f t="shared" si="44"/>
        <v>5199.808</v>
      </c>
      <c r="V32">
        <f t="shared" si="45"/>
        <v>31199.808000000001</v>
      </c>
      <c r="W32">
        <f>D32*$O$7-105</f>
        <v>2495</v>
      </c>
      <c r="X32" s="13">
        <f>V32</f>
        <v>31199.808000000001</v>
      </c>
    </row>
    <row r="33" spans="1:24">
      <c r="A33" s="34"/>
      <c r="B33">
        <v>4</v>
      </c>
      <c r="C33">
        <v>12320</v>
      </c>
      <c r="E33" s="20">
        <f t="shared" si="51"/>
        <v>966.72</v>
      </c>
      <c r="F33" s="17">
        <f t="shared" si="52"/>
        <v>241.68</v>
      </c>
      <c r="G33" s="20">
        <f t="shared" si="53"/>
        <v>120.84</v>
      </c>
      <c r="H33" s="21">
        <f t="shared" si="47"/>
        <v>1621</v>
      </c>
      <c r="I33" s="28">
        <f t="shared" si="38"/>
        <v>2950.24</v>
      </c>
      <c r="J33" s="6">
        <f t="shared" si="39"/>
        <v>9369.76</v>
      </c>
      <c r="K33" s="6">
        <f t="shared" si="54"/>
        <v>9369.76</v>
      </c>
      <c r="L33">
        <f t="shared" si="41"/>
        <v>5869.76</v>
      </c>
      <c r="M33">
        <f t="shared" si="42"/>
        <v>45</v>
      </c>
      <c r="N33">
        <f t="shared" si="43"/>
        <v>4369.76</v>
      </c>
      <c r="O33">
        <f t="shared" si="48"/>
        <v>300</v>
      </c>
      <c r="P33">
        <f t="shared" si="49"/>
        <v>1369.7600000000002</v>
      </c>
      <c r="Q33">
        <f t="shared" si="50"/>
        <v>273.95200000000006</v>
      </c>
      <c r="T33">
        <f t="shared" ref="T33:T37" si="55">M33+O33+Q33</f>
        <v>618.952</v>
      </c>
      <c r="U33" s="2">
        <f t="shared" si="44"/>
        <v>8750.8080000000009</v>
      </c>
      <c r="V33">
        <f t="shared" si="45"/>
        <v>8750.8080000000009</v>
      </c>
      <c r="X33" s="13">
        <f t="shared" ref="X33:X41" si="56">V33</f>
        <v>8750.8080000000009</v>
      </c>
    </row>
    <row r="34" spans="1:24">
      <c r="A34" s="34"/>
      <c r="B34">
        <v>5</v>
      </c>
      <c r="C34">
        <v>12320</v>
      </c>
      <c r="E34" s="20">
        <f t="shared" si="51"/>
        <v>966.72</v>
      </c>
      <c r="F34" s="17">
        <f t="shared" si="52"/>
        <v>241.68</v>
      </c>
      <c r="G34" s="20">
        <f t="shared" si="53"/>
        <v>120.84</v>
      </c>
      <c r="H34" s="21">
        <f t="shared" si="47"/>
        <v>1621</v>
      </c>
      <c r="I34" s="28">
        <f t="shared" si="38"/>
        <v>2950.24</v>
      </c>
      <c r="J34" s="6">
        <f t="shared" si="39"/>
        <v>9369.76</v>
      </c>
      <c r="K34" s="6">
        <f t="shared" si="54"/>
        <v>9369.76</v>
      </c>
      <c r="L34">
        <f t="shared" si="41"/>
        <v>5869.76</v>
      </c>
      <c r="M34">
        <f t="shared" si="42"/>
        <v>45</v>
      </c>
      <c r="N34">
        <f t="shared" si="43"/>
        <v>4369.76</v>
      </c>
      <c r="O34">
        <f t="shared" si="48"/>
        <v>300</v>
      </c>
      <c r="P34">
        <f t="shared" si="49"/>
        <v>1369.7600000000002</v>
      </c>
      <c r="Q34">
        <f t="shared" si="50"/>
        <v>273.95200000000006</v>
      </c>
      <c r="T34">
        <f t="shared" si="55"/>
        <v>618.952</v>
      </c>
      <c r="U34" s="2">
        <f t="shared" si="44"/>
        <v>8750.8080000000009</v>
      </c>
      <c r="V34">
        <f t="shared" si="45"/>
        <v>8750.8080000000009</v>
      </c>
      <c r="X34" s="13">
        <f t="shared" si="56"/>
        <v>8750.8080000000009</v>
      </c>
    </row>
    <row r="35" spans="1:24">
      <c r="A35" s="34"/>
      <c r="B35">
        <v>6</v>
      </c>
      <c r="C35">
        <v>12320</v>
      </c>
      <c r="D35">
        <v>140.6</v>
      </c>
      <c r="E35" s="20">
        <f t="shared" si="51"/>
        <v>966.72</v>
      </c>
      <c r="F35" s="17">
        <f t="shared" si="52"/>
        <v>241.68</v>
      </c>
      <c r="G35" s="20">
        <f t="shared" si="53"/>
        <v>120.84</v>
      </c>
      <c r="H35" s="21">
        <f t="shared" si="47"/>
        <v>1621</v>
      </c>
      <c r="I35" s="28">
        <f t="shared" si="38"/>
        <v>2950.24</v>
      </c>
      <c r="J35" s="6">
        <f t="shared" si="39"/>
        <v>9369.76</v>
      </c>
      <c r="K35" s="6">
        <f t="shared" si="54"/>
        <v>9369.76</v>
      </c>
      <c r="L35">
        <f t="shared" si="41"/>
        <v>5869.76</v>
      </c>
      <c r="M35">
        <f t="shared" si="42"/>
        <v>45</v>
      </c>
      <c r="N35">
        <f t="shared" si="43"/>
        <v>4369.76</v>
      </c>
      <c r="O35">
        <f t="shared" si="48"/>
        <v>300</v>
      </c>
      <c r="P35">
        <f t="shared" si="49"/>
        <v>1369.7600000000002</v>
      </c>
      <c r="Q35">
        <f t="shared" si="50"/>
        <v>273.95200000000006</v>
      </c>
      <c r="T35">
        <f t="shared" si="55"/>
        <v>618.952</v>
      </c>
      <c r="U35" s="2">
        <f t="shared" si="44"/>
        <v>8750.8080000000009</v>
      </c>
      <c r="V35">
        <f t="shared" si="45"/>
        <v>8891.4080000000013</v>
      </c>
      <c r="X35" s="13">
        <f t="shared" si="56"/>
        <v>8891.4080000000013</v>
      </c>
    </row>
    <row r="36" spans="1:24">
      <c r="A36" s="34"/>
      <c r="B36">
        <v>7</v>
      </c>
      <c r="C36">
        <v>12320</v>
      </c>
      <c r="D36">
        <v>140.6</v>
      </c>
      <c r="E36" s="20">
        <f t="shared" si="51"/>
        <v>966.72</v>
      </c>
      <c r="F36" s="17">
        <f t="shared" si="52"/>
        <v>241.68</v>
      </c>
      <c r="G36" s="20">
        <f t="shared" si="53"/>
        <v>120.84</v>
      </c>
      <c r="H36" s="29">
        <f>ROUND($I$29*$H$7,0)</f>
        <v>1571</v>
      </c>
      <c r="I36" s="28">
        <f t="shared" si="38"/>
        <v>2900.24</v>
      </c>
      <c r="J36" s="6">
        <f t="shared" si="39"/>
        <v>9419.76</v>
      </c>
      <c r="K36" s="6">
        <f t="shared" si="54"/>
        <v>9419.76</v>
      </c>
      <c r="L36">
        <f t="shared" si="41"/>
        <v>5919.76</v>
      </c>
      <c r="M36">
        <f t="shared" si="42"/>
        <v>45</v>
      </c>
      <c r="N36">
        <f t="shared" si="43"/>
        <v>4419.76</v>
      </c>
      <c r="O36">
        <f t="shared" si="48"/>
        <v>300</v>
      </c>
      <c r="P36">
        <f t="shared" si="49"/>
        <v>1419.7600000000002</v>
      </c>
      <c r="Q36">
        <f t="shared" si="50"/>
        <v>283.95200000000006</v>
      </c>
      <c r="T36">
        <f t="shared" si="55"/>
        <v>628.952</v>
      </c>
      <c r="U36" s="2">
        <f t="shared" si="44"/>
        <v>8790.8080000000009</v>
      </c>
      <c r="V36">
        <f t="shared" si="45"/>
        <v>8931.4080000000013</v>
      </c>
      <c r="X36" s="13">
        <f t="shared" si="56"/>
        <v>8931.4080000000013</v>
      </c>
    </row>
    <row r="37" spans="1:24">
      <c r="A37" s="34"/>
      <c r="B37">
        <v>8</v>
      </c>
      <c r="C37">
        <v>12320</v>
      </c>
      <c r="D37">
        <v>140.6</v>
      </c>
      <c r="E37" s="20">
        <f t="shared" si="51"/>
        <v>966.72</v>
      </c>
      <c r="F37" s="17">
        <f t="shared" si="52"/>
        <v>241.68</v>
      </c>
      <c r="G37" s="20">
        <f t="shared" si="53"/>
        <v>120.84</v>
      </c>
      <c r="H37" s="29">
        <f t="shared" ref="H37:H41" si="57">ROUND($I$29*$H$7,0)</f>
        <v>1571</v>
      </c>
      <c r="I37" s="28">
        <f t="shared" si="38"/>
        <v>2900.24</v>
      </c>
      <c r="J37" s="6">
        <f t="shared" si="39"/>
        <v>9419.76</v>
      </c>
      <c r="K37" s="6">
        <f t="shared" si="54"/>
        <v>9419.76</v>
      </c>
      <c r="L37">
        <f t="shared" si="41"/>
        <v>5919.76</v>
      </c>
      <c r="M37">
        <f t="shared" si="42"/>
        <v>45</v>
      </c>
      <c r="N37">
        <f t="shared" si="43"/>
        <v>4419.76</v>
      </c>
      <c r="O37">
        <f t="shared" si="48"/>
        <v>300</v>
      </c>
      <c r="P37">
        <f t="shared" si="49"/>
        <v>1419.7600000000002</v>
      </c>
      <c r="Q37">
        <f t="shared" si="50"/>
        <v>283.95200000000006</v>
      </c>
      <c r="T37">
        <f t="shared" si="55"/>
        <v>628.952</v>
      </c>
      <c r="U37" s="2">
        <f t="shared" si="44"/>
        <v>8790.8080000000009</v>
      </c>
      <c r="V37">
        <f t="shared" si="45"/>
        <v>8931.4080000000013</v>
      </c>
      <c r="X37" s="13">
        <f t="shared" si="56"/>
        <v>8931.4080000000013</v>
      </c>
    </row>
    <row r="38" spans="1:24">
      <c r="A38" s="34"/>
      <c r="B38">
        <v>9</v>
      </c>
      <c r="C38">
        <v>12320</v>
      </c>
      <c r="D38" s="5">
        <v>140.6</v>
      </c>
      <c r="E38" s="20">
        <f t="shared" si="51"/>
        <v>966.72</v>
      </c>
      <c r="F38" s="17">
        <f t="shared" si="52"/>
        <v>241.68</v>
      </c>
      <c r="G38" s="20">
        <f t="shared" si="53"/>
        <v>120.84</v>
      </c>
      <c r="H38" s="29">
        <f t="shared" si="57"/>
        <v>1571</v>
      </c>
      <c r="I38" s="28">
        <f t="shared" si="38"/>
        <v>2900.24</v>
      </c>
      <c r="J38" s="6">
        <f t="shared" si="39"/>
        <v>9419.76</v>
      </c>
      <c r="K38" s="6">
        <f t="shared" si="54"/>
        <v>9419.76</v>
      </c>
      <c r="L38">
        <f t="shared" si="41"/>
        <v>5919.76</v>
      </c>
      <c r="M38">
        <f t="shared" si="42"/>
        <v>45</v>
      </c>
      <c r="N38">
        <f t="shared" si="43"/>
        <v>4419.76</v>
      </c>
      <c r="O38">
        <f t="shared" si="48"/>
        <v>300</v>
      </c>
      <c r="P38">
        <f t="shared" si="49"/>
        <v>1419.7600000000002</v>
      </c>
      <c r="Q38">
        <f t="shared" si="50"/>
        <v>283.95200000000006</v>
      </c>
      <c r="T38">
        <f>M38+O38+Q38</f>
        <v>628.952</v>
      </c>
      <c r="U38" s="2">
        <f t="shared" si="44"/>
        <v>8790.8080000000009</v>
      </c>
      <c r="V38">
        <f t="shared" si="45"/>
        <v>8931.4080000000013</v>
      </c>
      <c r="X38" s="13">
        <f t="shared" si="56"/>
        <v>8931.4080000000013</v>
      </c>
    </row>
    <row r="39" spans="1:24">
      <c r="A39" s="34"/>
      <c r="B39">
        <v>10</v>
      </c>
      <c r="C39">
        <v>12320</v>
      </c>
      <c r="E39" s="20">
        <f t="shared" si="51"/>
        <v>966.72</v>
      </c>
      <c r="F39" s="17">
        <f t="shared" si="52"/>
        <v>241.68</v>
      </c>
      <c r="G39" s="20">
        <f t="shared" si="53"/>
        <v>120.84</v>
      </c>
      <c r="H39" s="29">
        <f t="shared" si="57"/>
        <v>1571</v>
      </c>
      <c r="I39" s="28">
        <f t="shared" si="38"/>
        <v>2900.24</v>
      </c>
      <c r="J39" s="6">
        <f t="shared" si="39"/>
        <v>9419.76</v>
      </c>
      <c r="K39" s="6">
        <f t="shared" si="54"/>
        <v>9419.76</v>
      </c>
      <c r="L39">
        <f t="shared" si="41"/>
        <v>5919.76</v>
      </c>
      <c r="M39">
        <f t="shared" si="42"/>
        <v>45</v>
      </c>
      <c r="N39">
        <f t="shared" si="43"/>
        <v>4419.76</v>
      </c>
      <c r="O39">
        <f t="shared" si="48"/>
        <v>300</v>
      </c>
      <c r="P39">
        <f t="shared" si="49"/>
        <v>1419.7600000000002</v>
      </c>
      <c r="Q39">
        <f t="shared" si="50"/>
        <v>283.95200000000006</v>
      </c>
      <c r="T39">
        <f>M39+O39+Q39</f>
        <v>628.952</v>
      </c>
      <c r="U39" s="2">
        <f t="shared" si="44"/>
        <v>8790.8080000000009</v>
      </c>
      <c r="V39">
        <f t="shared" si="45"/>
        <v>8790.8080000000009</v>
      </c>
      <c r="X39" s="13">
        <f t="shared" si="56"/>
        <v>8790.8080000000009</v>
      </c>
    </row>
    <row r="40" spans="1:24">
      <c r="A40" s="34"/>
      <c r="B40">
        <v>11</v>
      </c>
      <c r="C40">
        <v>12320</v>
      </c>
      <c r="D40">
        <v>6160</v>
      </c>
      <c r="E40" s="20">
        <f t="shared" si="51"/>
        <v>966.72</v>
      </c>
      <c r="F40" s="17">
        <f t="shared" si="52"/>
        <v>241.68</v>
      </c>
      <c r="G40" s="20">
        <f t="shared" si="53"/>
        <v>120.84</v>
      </c>
      <c r="H40" s="29">
        <f t="shared" si="57"/>
        <v>1571</v>
      </c>
      <c r="I40" s="28">
        <f t="shared" si="38"/>
        <v>2900.24</v>
      </c>
      <c r="J40" s="6">
        <f>C40-I40</f>
        <v>9419.76</v>
      </c>
      <c r="K40" s="6">
        <f>J40+D40</f>
        <v>15579.76</v>
      </c>
      <c r="L40">
        <f t="shared" si="41"/>
        <v>12079.76</v>
      </c>
      <c r="M40">
        <f t="shared" si="42"/>
        <v>45</v>
      </c>
      <c r="N40">
        <f t="shared" si="43"/>
        <v>10579.76</v>
      </c>
      <c r="O40">
        <f t="shared" si="48"/>
        <v>300</v>
      </c>
      <c r="P40">
        <f t="shared" si="49"/>
        <v>7579.76</v>
      </c>
      <c r="Q40">
        <f>Q7*(R7-P7)</f>
        <v>900</v>
      </c>
      <c r="R40" s="6">
        <f>L40-$R$7</f>
        <v>3079.76</v>
      </c>
      <c r="S40">
        <f>R40*$S$7</f>
        <v>769.94</v>
      </c>
      <c r="T40">
        <f>M40+O40+Q40+S40</f>
        <v>2014.94</v>
      </c>
      <c r="U40" s="2">
        <f t="shared" si="44"/>
        <v>7404.82</v>
      </c>
      <c r="V40">
        <f t="shared" si="45"/>
        <v>13564.82</v>
      </c>
      <c r="X40" s="13">
        <f t="shared" si="56"/>
        <v>13564.82</v>
      </c>
    </row>
    <row r="41" spans="1:24">
      <c r="A41" s="34"/>
      <c r="B41">
        <v>12</v>
      </c>
      <c r="C41">
        <v>12320</v>
      </c>
      <c r="E41" s="20">
        <f t="shared" si="51"/>
        <v>966.72</v>
      </c>
      <c r="F41" s="17">
        <f t="shared" si="52"/>
        <v>241.68</v>
      </c>
      <c r="G41" s="20">
        <f t="shared" si="53"/>
        <v>120.84</v>
      </c>
      <c r="H41" s="29">
        <f t="shared" si="57"/>
        <v>1571</v>
      </c>
      <c r="I41" s="28">
        <f t="shared" si="38"/>
        <v>2900.24</v>
      </c>
      <c r="J41" s="6">
        <f t="shared" si="39"/>
        <v>9419.76</v>
      </c>
      <c r="K41" s="6">
        <f t="shared" si="54"/>
        <v>9419.76</v>
      </c>
      <c r="L41">
        <f t="shared" si="41"/>
        <v>5919.76</v>
      </c>
      <c r="M41">
        <f t="shared" si="42"/>
        <v>45</v>
      </c>
      <c r="N41">
        <f t="shared" si="43"/>
        <v>4419.76</v>
      </c>
      <c r="O41">
        <f t="shared" si="48"/>
        <v>300</v>
      </c>
      <c r="P41">
        <f t="shared" si="49"/>
        <v>1419.7600000000002</v>
      </c>
      <c r="Q41">
        <f t="shared" si="50"/>
        <v>283.95200000000006</v>
      </c>
      <c r="T41">
        <f>M41+O41+Q41+Z41*$Q$7</f>
        <v>628.952</v>
      </c>
      <c r="U41" s="2">
        <f t="shared" si="44"/>
        <v>8790.8080000000009</v>
      </c>
      <c r="V41">
        <f t="shared" si="45"/>
        <v>8790.8080000000009</v>
      </c>
      <c r="X41" s="13">
        <f t="shared" si="56"/>
        <v>8790.8080000000009</v>
      </c>
    </row>
    <row r="42" spans="1:24" s="2" customFormat="1">
      <c r="A42" s="10"/>
      <c r="C42" s="2">
        <f>SUM(C30:C41)</f>
        <v>143880</v>
      </c>
      <c r="D42" s="2">
        <f>SUM(D30:D41)</f>
        <v>33242.399999999994</v>
      </c>
      <c r="E42" s="19"/>
      <c r="F42" s="19"/>
      <c r="G42" s="19"/>
      <c r="H42" s="25">
        <f>SUM(H30:H41)</f>
        <v>19152</v>
      </c>
      <c r="I42" s="27"/>
      <c r="T42" s="2">
        <f>SUM(T30:T41)</f>
        <v>10655.036000000002</v>
      </c>
      <c r="U42" s="2">
        <f>SUM(U30:U41)</f>
        <v>97862.084000000017</v>
      </c>
      <c r="V42" s="2">
        <f>SUM(V30:V41)</f>
        <v>131104.484</v>
      </c>
    </row>
    <row r="43" spans="1:24">
      <c r="A43" s="8"/>
      <c r="C43">
        <f>SUM(C30:C41)</f>
        <v>143880</v>
      </c>
      <c r="D43">
        <f>SUM(D30:D41)</f>
        <v>33242.399999999994</v>
      </c>
    </row>
    <row r="44" spans="1:24">
      <c r="C44">
        <f>C14-I14</f>
        <v>47757.39</v>
      </c>
      <c r="T44">
        <v>2481.98</v>
      </c>
    </row>
    <row r="45" spans="1:24">
      <c r="C45">
        <f>C44+D9+D8+D10</f>
        <v>48054.96</v>
      </c>
      <c r="T45">
        <f>T44-D11</f>
        <v>1641.0900000000001</v>
      </c>
    </row>
    <row r="46" spans="1:24">
      <c r="D46">
        <f>C8+C9+C10+D10+D9+D8</f>
        <v>28514.959999999999</v>
      </c>
      <c r="M46">
        <v>3500</v>
      </c>
    </row>
    <row r="47" spans="1:24">
      <c r="M47">
        <f>V8</f>
        <v>3317.3900000000003</v>
      </c>
    </row>
    <row r="48" spans="1:24">
      <c r="H48" s="21">
        <f>I29*13%</f>
        <v>1570.92</v>
      </c>
      <c r="M48">
        <f>M46*3+M47</f>
        <v>13817.39</v>
      </c>
    </row>
  </sheetData>
  <mergeCells count="11">
    <mergeCell ref="K15:L15"/>
    <mergeCell ref="A8:A13"/>
    <mergeCell ref="E15:F15"/>
    <mergeCell ref="G15:H15"/>
    <mergeCell ref="I15:J15"/>
    <mergeCell ref="A30:A41"/>
    <mergeCell ref="A16:A27"/>
    <mergeCell ref="K29:L29"/>
    <mergeCell ref="E29:F29"/>
    <mergeCell ref="G29:H29"/>
    <mergeCell ref="I29:J29"/>
  </mergeCells>
  <pageMargins left="0.7" right="0.7" top="0.75" bottom="0.75" header="0.3" footer="0.3"/>
  <pageSetup paperSize="9" orientation="portrait" r:id="rId1"/>
  <ignoredErrors>
    <ignoredError sqref="F14 K11 T18" formula="1"/>
    <ignoredError sqref="G14:H14 E14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C2:H8"/>
  <sheetViews>
    <sheetView workbookViewId="0">
      <selection activeCell="C23" sqref="C23"/>
    </sheetView>
  </sheetViews>
  <sheetFormatPr defaultRowHeight="15"/>
  <cols>
    <col min="3" max="3" width="20.85546875" customWidth="1"/>
  </cols>
  <sheetData>
    <row r="2" spans="3:8">
      <c r="E2" s="1"/>
    </row>
    <row r="3" spans="3:8" ht="18" customHeight="1">
      <c r="C3" s="4" t="s">
        <v>1</v>
      </c>
      <c r="D3" s="5">
        <v>997.68</v>
      </c>
      <c r="E3" s="1">
        <v>0.08</v>
      </c>
      <c r="F3">
        <f>D3/E3</f>
        <v>12471</v>
      </c>
      <c r="H3">
        <f>D3</f>
        <v>997.68</v>
      </c>
    </row>
    <row r="4" spans="3:8" ht="21.75" customHeight="1">
      <c r="C4" s="4" t="s">
        <v>2</v>
      </c>
      <c r="D4" s="5">
        <v>509.42</v>
      </c>
      <c r="E4" s="1">
        <v>0.02</v>
      </c>
      <c r="F4">
        <f t="shared" ref="F4:F6" si="0">D4/E4</f>
        <v>25471</v>
      </c>
      <c r="G4">
        <f>D4-2*D5</f>
        <v>260</v>
      </c>
      <c r="H4">
        <f>D4-G4</f>
        <v>249.42000000000002</v>
      </c>
    </row>
    <row r="5" spans="3:8" ht="18.75" customHeight="1">
      <c r="C5" s="4" t="s">
        <v>3</v>
      </c>
      <c r="D5" s="5">
        <v>124.71</v>
      </c>
      <c r="E5" s="1">
        <v>0.01</v>
      </c>
      <c r="F5">
        <f t="shared" si="0"/>
        <v>12471</v>
      </c>
      <c r="H5">
        <f>D5</f>
        <v>124.71</v>
      </c>
    </row>
    <row r="6" spans="3:8" ht="17.25" customHeight="1">
      <c r="C6" s="4" t="s">
        <v>4</v>
      </c>
      <c r="D6" s="4">
        <v>1621.23</v>
      </c>
      <c r="E6" s="1">
        <v>0.13</v>
      </c>
      <c r="F6">
        <f t="shared" si="0"/>
        <v>12471</v>
      </c>
      <c r="H6">
        <f>D6</f>
        <v>1621.23</v>
      </c>
    </row>
    <row r="7" spans="3:8">
      <c r="H7">
        <f>SUM(H3:H6)</f>
        <v>2993.04</v>
      </c>
    </row>
    <row r="8" spans="3:8">
      <c r="D8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2:U49"/>
  <sheetViews>
    <sheetView tabSelected="1" workbookViewId="0">
      <pane xSplit="2" ySplit="7" topLeftCell="C36" activePane="bottomRight" state="frozen"/>
      <selection pane="topRight" activeCell="C1" sqref="C1"/>
      <selection pane="bottomLeft" activeCell="A8" sqref="A8"/>
      <selection pane="bottomRight" activeCell="P50" sqref="P50"/>
    </sheetView>
  </sheetViews>
  <sheetFormatPr defaultRowHeight="15"/>
  <cols>
    <col min="1" max="1" width="5" bestFit="1" customWidth="1"/>
    <col min="2" max="2" width="3" bestFit="1" customWidth="1"/>
    <col min="3" max="3" width="9.85546875" bestFit="1" customWidth="1"/>
    <col min="4" max="4" width="6.42578125" bestFit="1" customWidth="1"/>
    <col min="5" max="7" width="7" bestFit="1" customWidth="1"/>
    <col min="8" max="8" width="9" style="17" bestFit="1" customWidth="1"/>
    <col min="9" max="10" width="8" style="17" bestFit="1" customWidth="1"/>
    <col min="11" max="11" width="9" style="21" bestFit="1" customWidth="1"/>
    <col min="12" max="12" width="7.5703125" style="26" bestFit="1" customWidth="1"/>
    <col min="13" max="13" width="8.5703125" bestFit="1" customWidth="1"/>
    <col min="14" max="15" width="9" bestFit="1" customWidth="1"/>
    <col min="16" max="16" width="7.5703125" bestFit="1" customWidth="1"/>
    <col min="17" max="17" width="9.5703125" style="31" bestFit="1" customWidth="1"/>
    <col min="18" max="18" width="4" bestFit="1" customWidth="1"/>
    <col min="19" max="19" width="15.140625" bestFit="1" customWidth="1"/>
    <col min="20" max="20" width="10" bestFit="1" customWidth="1"/>
    <col min="21" max="21" width="7" bestFit="1" customWidth="1"/>
    <col min="22" max="22" width="9" bestFit="1" customWidth="1"/>
  </cols>
  <sheetData>
    <row r="2" spans="1:19">
      <c r="C2" t="s">
        <v>24</v>
      </c>
      <c r="D2" s="1">
        <v>0.03</v>
      </c>
      <c r="E2" s="1">
        <v>0.1</v>
      </c>
      <c r="F2" s="1">
        <v>0.2</v>
      </c>
      <c r="G2" s="1">
        <v>0.25</v>
      </c>
    </row>
    <row r="3" spans="1:19">
      <c r="C3" t="s">
        <v>6</v>
      </c>
      <c r="D3">
        <v>3500</v>
      </c>
    </row>
    <row r="4" spans="1:19">
      <c r="C4" t="s">
        <v>5</v>
      </c>
      <c r="D4">
        <v>2391</v>
      </c>
    </row>
    <row r="5" spans="1:19">
      <c r="A5" t="s">
        <v>15</v>
      </c>
      <c r="B5" t="s">
        <v>16</v>
      </c>
      <c r="C5" t="s">
        <v>14</v>
      </c>
      <c r="D5" s="38" t="s">
        <v>13</v>
      </c>
      <c r="E5" s="38"/>
      <c r="F5" s="38"/>
      <c r="G5" s="38"/>
      <c r="H5" t="s">
        <v>7</v>
      </c>
      <c r="I5" t="s">
        <v>8</v>
      </c>
      <c r="J5" t="s">
        <v>21</v>
      </c>
      <c r="K5" t="s">
        <v>9</v>
      </c>
      <c r="L5" t="s">
        <v>11</v>
      </c>
      <c r="M5" t="s">
        <v>12</v>
      </c>
      <c r="N5" t="s">
        <v>17</v>
      </c>
      <c r="P5" t="s">
        <v>10</v>
      </c>
      <c r="Q5" s="31" t="s">
        <v>22</v>
      </c>
      <c r="S5" s="13"/>
    </row>
    <row r="6" spans="1:19">
      <c r="D6" t="s">
        <v>19</v>
      </c>
      <c r="E6" t="s">
        <v>20</v>
      </c>
      <c r="F6" t="s">
        <v>18</v>
      </c>
      <c r="G6" t="s">
        <v>23</v>
      </c>
      <c r="I6" s="17">
        <v>260</v>
      </c>
      <c r="J6" s="39">
        <v>5.0000000000000001E-3</v>
      </c>
      <c r="K6" s="22">
        <v>0.12</v>
      </c>
      <c r="S6" s="13"/>
    </row>
    <row r="7" spans="1:19">
      <c r="H7" s="18">
        <v>0.08</v>
      </c>
      <c r="I7" s="18">
        <v>0.02</v>
      </c>
      <c r="J7" s="18">
        <v>0.01</v>
      </c>
      <c r="K7" s="22">
        <v>0.13</v>
      </c>
      <c r="O7">
        <v>3500</v>
      </c>
      <c r="S7" s="13"/>
    </row>
    <row r="8" spans="1:19">
      <c r="A8" s="34">
        <v>2013</v>
      </c>
      <c r="B8">
        <v>7</v>
      </c>
      <c r="C8">
        <v>6217.39</v>
      </c>
      <c r="E8">
        <v>65.569999999999993</v>
      </c>
      <c r="H8" s="17">
        <v>880</v>
      </c>
      <c r="I8" s="17">
        <v>480</v>
      </c>
      <c r="J8" s="17">
        <v>110</v>
      </c>
      <c r="K8" s="21">
        <v>1430</v>
      </c>
      <c r="L8" s="26">
        <f t="shared" ref="L8" si="0">H8+I8+J8+K8</f>
        <v>2900</v>
      </c>
      <c r="M8">
        <f t="shared" ref="M8" si="1">C8-L8</f>
        <v>3317.3900000000003</v>
      </c>
      <c r="N8">
        <f>M8+E8+F8</f>
        <v>3382.9600000000005</v>
      </c>
      <c r="O8">
        <v>0</v>
      </c>
      <c r="P8" s="6">
        <f t="shared" ref="P8:P13" si="2">IndividalIncomeTax(N8, $D$3)</f>
        <v>0</v>
      </c>
      <c r="Q8" s="31">
        <f>M8-P8+D8+E8+F8+G8</f>
        <v>3382.9600000000005</v>
      </c>
      <c r="S8" s="13"/>
    </row>
    <row r="9" spans="1:19">
      <c r="A9" s="34"/>
      <c r="B9">
        <v>8</v>
      </c>
      <c r="C9">
        <v>11000</v>
      </c>
      <c r="E9">
        <v>116</v>
      </c>
      <c r="H9" s="17">
        <v>880</v>
      </c>
      <c r="I9" s="17">
        <v>220</v>
      </c>
      <c r="J9" s="17">
        <v>110</v>
      </c>
      <c r="K9" s="21">
        <v>1430</v>
      </c>
      <c r="L9" s="26">
        <f>H9+I9+J9+K9</f>
        <v>2640</v>
      </c>
      <c r="M9">
        <f>C9-L9</f>
        <v>8360</v>
      </c>
      <c r="N9">
        <f t="shared" ref="N9:N13" si="3">M9+E9+F9</f>
        <v>8476</v>
      </c>
      <c r="O9">
        <f>N9-$O$7</f>
        <v>4976</v>
      </c>
      <c r="P9" s="6">
        <f t="shared" si="2"/>
        <v>440.20000000000005</v>
      </c>
      <c r="Q9" s="31">
        <f t="shared" ref="Q9:Q13" si="4">M9-P9+D9+E9+F9+G9</f>
        <v>8035.8</v>
      </c>
      <c r="S9" s="13"/>
    </row>
    <row r="10" spans="1:19">
      <c r="A10" s="34"/>
      <c r="B10">
        <v>9</v>
      </c>
      <c r="C10">
        <v>11000</v>
      </c>
      <c r="E10">
        <v>116</v>
      </c>
      <c r="H10" s="17">
        <v>880</v>
      </c>
      <c r="I10" s="17">
        <v>220</v>
      </c>
      <c r="J10" s="17">
        <v>110</v>
      </c>
      <c r="K10" s="21">
        <v>1430</v>
      </c>
      <c r="L10" s="26">
        <f>H10+I10+J10+K10</f>
        <v>2640</v>
      </c>
      <c r="M10">
        <f>C10-L10</f>
        <v>8360</v>
      </c>
      <c r="N10">
        <f t="shared" si="3"/>
        <v>8476</v>
      </c>
      <c r="O10">
        <f>N10-$O$7</f>
        <v>4976</v>
      </c>
      <c r="P10" s="6">
        <f t="shared" si="2"/>
        <v>440.20000000000005</v>
      </c>
      <c r="Q10" s="31">
        <f t="shared" si="4"/>
        <v>8035.8</v>
      </c>
      <c r="S10" s="13"/>
    </row>
    <row r="11" spans="1:19">
      <c r="A11" s="34"/>
      <c r="B11">
        <v>10</v>
      </c>
      <c r="C11">
        <v>11000</v>
      </c>
      <c r="G11">
        <v>840.89</v>
      </c>
      <c r="H11" s="17">
        <v>880</v>
      </c>
      <c r="I11" s="17">
        <v>220</v>
      </c>
      <c r="J11" s="17">
        <v>110</v>
      </c>
      <c r="K11" s="21">
        <v>1430</v>
      </c>
      <c r="L11" s="26">
        <f>H11+I11+J11+K11</f>
        <v>2640</v>
      </c>
      <c r="M11">
        <f>C11-L11</f>
        <v>8360</v>
      </c>
      <c r="N11">
        <f>M11</f>
        <v>8360</v>
      </c>
      <c r="O11">
        <f>N11-$O$7</f>
        <v>4860</v>
      </c>
      <c r="P11" s="6">
        <f t="shared" si="2"/>
        <v>417</v>
      </c>
      <c r="Q11" s="31">
        <f t="shared" si="4"/>
        <v>8783.89</v>
      </c>
      <c r="S11" s="13"/>
    </row>
    <row r="12" spans="1:19">
      <c r="A12" s="34"/>
      <c r="B12">
        <v>11</v>
      </c>
      <c r="C12">
        <v>11000</v>
      </c>
      <c r="H12" s="17">
        <v>880</v>
      </c>
      <c r="I12" s="17">
        <v>220</v>
      </c>
      <c r="J12" s="17">
        <v>110</v>
      </c>
      <c r="K12" s="21">
        <v>1430</v>
      </c>
      <c r="L12" s="26">
        <f>H12+I12+J12+K12</f>
        <v>2640</v>
      </c>
      <c r="M12">
        <f>C12-L12</f>
        <v>8360</v>
      </c>
      <c r="N12">
        <f t="shared" si="3"/>
        <v>8360</v>
      </c>
      <c r="O12">
        <f>N12-$O$7</f>
        <v>4860</v>
      </c>
      <c r="P12" s="6">
        <f t="shared" si="2"/>
        <v>417</v>
      </c>
      <c r="Q12" s="31">
        <f t="shared" si="4"/>
        <v>7943</v>
      </c>
      <c r="S12" s="13"/>
    </row>
    <row r="13" spans="1:19">
      <c r="A13" s="34"/>
      <c r="B13">
        <v>12</v>
      </c>
      <c r="C13">
        <v>11000</v>
      </c>
      <c r="H13" s="17">
        <v>880</v>
      </c>
      <c r="I13" s="17">
        <v>220</v>
      </c>
      <c r="J13" s="17">
        <v>110</v>
      </c>
      <c r="K13" s="21">
        <v>1430</v>
      </c>
      <c r="L13" s="26">
        <f>H13+I13+J13+K13</f>
        <v>2640</v>
      </c>
      <c r="M13">
        <f>C13-L13</f>
        <v>8360</v>
      </c>
      <c r="N13">
        <f t="shared" si="3"/>
        <v>8360</v>
      </c>
      <c r="O13">
        <f>N13-$O$7</f>
        <v>4860</v>
      </c>
      <c r="P13" s="6">
        <f t="shared" si="2"/>
        <v>417</v>
      </c>
      <c r="Q13" s="31">
        <f t="shared" si="4"/>
        <v>7943</v>
      </c>
      <c r="S13" s="13"/>
    </row>
    <row r="14" spans="1:19" s="2" customFormat="1">
      <c r="C14" s="2">
        <f>SUM(C8:C13)</f>
        <v>61217.39</v>
      </c>
      <c r="D14" s="2">
        <f t="shared" ref="D14:G14" si="5">SUM(D8:D13)</f>
        <v>0</v>
      </c>
      <c r="E14" s="2">
        <f t="shared" si="5"/>
        <v>297.57</v>
      </c>
      <c r="F14" s="2">
        <f t="shared" si="5"/>
        <v>0</v>
      </c>
      <c r="G14" s="2">
        <f t="shared" si="5"/>
        <v>840.89</v>
      </c>
      <c r="H14" s="19">
        <f t="shared" ref="H14:K14" si="6">SUM(H8:H13)</f>
        <v>5280</v>
      </c>
      <c r="I14" s="19">
        <f>SUM(I6:I13)</f>
        <v>1840.02</v>
      </c>
      <c r="J14" s="19">
        <f t="shared" si="6"/>
        <v>660</v>
      </c>
      <c r="K14" s="23">
        <f t="shared" si="6"/>
        <v>8580</v>
      </c>
      <c r="L14" s="27">
        <f>SUM(L8:L12)</f>
        <v>13460</v>
      </c>
      <c r="Q14" s="32">
        <f>SUM(Q8:Q12)</f>
        <v>36181.449999999997</v>
      </c>
      <c r="S14" s="14"/>
    </row>
    <row r="15" spans="1:19" s="3" customFormat="1">
      <c r="A15" s="7"/>
      <c r="H15" s="36">
        <f>C14+D14+E14+F14+G14</f>
        <v>62355.85</v>
      </c>
      <c r="I15" s="36"/>
      <c r="J15" s="37">
        <f>H15/5</f>
        <v>12471.17</v>
      </c>
      <c r="K15" s="37"/>
      <c r="L15" s="35">
        <f>ROUND(J15, 0)</f>
        <v>12471</v>
      </c>
      <c r="M15" s="35"/>
      <c r="N15" s="35"/>
      <c r="O15" s="35"/>
      <c r="P15" s="15"/>
      <c r="Q15" s="33"/>
      <c r="R15"/>
      <c r="S15" s="13"/>
    </row>
    <row r="16" spans="1:19">
      <c r="A16" s="34">
        <v>2014</v>
      </c>
      <c r="B16">
        <v>1</v>
      </c>
      <c r="C16">
        <v>11000</v>
      </c>
      <c r="H16" s="20">
        <f>$L$15*$H$7</f>
        <v>997.68000000000006</v>
      </c>
      <c r="I16" s="20">
        <f>$L$15*$I$7+$I$6</f>
        <v>509.42</v>
      </c>
      <c r="J16" s="20">
        <f>$L$15*$J$7</f>
        <v>124.71000000000001</v>
      </c>
      <c r="K16" s="24">
        <f>$L$15*$K$7</f>
        <v>1621.23</v>
      </c>
      <c r="L16" s="28">
        <f>SUM(H16:K16)</f>
        <v>3253.04</v>
      </c>
      <c r="M16" s="6">
        <f>C16-L16</f>
        <v>7746.96</v>
      </c>
      <c r="N16">
        <f>M16+E16+F16</f>
        <v>7746.96</v>
      </c>
      <c r="O16">
        <f t="shared" ref="O16:O27" si="7">N16-$O$7</f>
        <v>4246.96</v>
      </c>
      <c r="P16" s="6">
        <f>IndividalIncomeTax(N16, $D$3)</f>
        <v>319.69600000000003</v>
      </c>
      <c r="Q16" s="31">
        <f t="shared" ref="Q16:Q27" si="8">M16-P16+D16+E16+F16+G16</f>
        <v>7427.2640000000001</v>
      </c>
      <c r="S16" s="13"/>
    </row>
    <row r="17" spans="1:21">
      <c r="A17" s="34"/>
      <c r="B17">
        <v>2</v>
      </c>
      <c r="C17">
        <v>11000</v>
      </c>
      <c r="E17">
        <v>185</v>
      </c>
      <c r="H17" s="20">
        <f>$L$15*$H$7</f>
        <v>997.68000000000006</v>
      </c>
      <c r="I17" s="20">
        <f>$L$15*$I$7</f>
        <v>249.42000000000002</v>
      </c>
      <c r="J17" s="20">
        <f>$L$15*$J$7</f>
        <v>124.71000000000001</v>
      </c>
      <c r="K17" s="24">
        <f>$L$15*$K$7</f>
        <v>1621.23</v>
      </c>
      <c r="L17" s="28">
        <f t="shared" ref="L17:L18" si="9">SUM(H17:K17)</f>
        <v>2993.04</v>
      </c>
      <c r="M17" s="6">
        <f t="shared" ref="M17:M27" si="10">C17-L17</f>
        <v>8006.96</v>
      </c>
      <c r="N17" s="6">
        <f>M17+F17</f>
        <v>8006.96</v>
      </c>
      <c r="O17">
        <f t="shared" si="7"/>
        <v>4506.96</v>
      </c>
      <c r="P17" s="6">
        <f>IndividalIncomeTax(N17, $D$3)</f>
        <v>346.39200000000005</v>
      </c>
      <c r="Q17" s="31">
        <f t="shared" si="8"/>
        <v>7845.5680000000002</v>
      </c>
      <c r="S17" s="13"/>
    </row>
    <row r="18" spans="1:21">
      <c r="A18" s="34"/>
      <c r="B18">
        <v>3</v>
      </c>
      <c r="C18">
        <v>11000</v>
      </c>
      <c r="D18">
        <v>12000</v>
      </c>
      <c r="H18" s="20">
        <f>$L$15*$H$7</f>
        <v>997.68000000000006</v>
      </c>
      <c r="I18" s="20">
        <f>$L$15*$I$7</f>
        <v>249.42000000000002</v>
      </c>
      <c r="J18" s="20">
        <f>$L$15*$J$7</f>
        <v>124.71000000000001</v>
      </c>
      <c r="K18" s="24">
        <f>$L$15*$K$7</f>
        <v>1621.23</v>
      </c>
      <c r="L18" s="28">
        <f t="shared" si="9"/>
        <v>2993.04</v>
      </c>
      <c r="M18" s="6">
        <f t="shared" si="10"/>
        <v>8006.96</v>
      </c>
      <c r="N18">
        <f t="shared" ref="N18:N27" si="11">M18+E18+F18</f>
        <v>8006.96</v>
      </c>
      <c r="O18">
        <f t="shared" si="7"/>
        <v>4506.96</v>
      </c>
      <c r="P18" s="6">
        <f>IndividalIncomeTax(N18, $D$3)+BonusTax(D18)</f>
        <v>706.39200000000005</v>
      </c>
      <c r="Q18" s="31">
        <f t="shared" si="8"/>
        <v>19300.567999999999</v>
      </c>
      <c r="S18" s="13"/>
    </row>
    <row r="19" spans="1:21">
      <c r="A19" s="34"/>
      <c r="B19">
        <v>4</v>
      </c>
      <c r="C19">
        <v>11000</v>
      </c>
      <c r="H19" s="20">
        <f>$L$15*$H$7</f>
        <v>997.68000000000006</v>
      </c>
      <c r="I19" s="20">
        <f>$L$15*$I$7</f>
        <v>249.42000000000002</v>
      </c>
      <c r="J19" s="20">
        <f>$L$15*$J$7</f>
        <v>124.71000000000001</v>
      </c>
      <c r="K19" s="24">
        <f>$L$15*$K$7</f>
        <v>1621.23</v>
      </c>
      <c r="L19" s="28">
        <f t="shared" ref="L19:L22" si="12">SUM(H19:K19)</f>
        <v>2993.04</v>
      </c>
      <c r="M19" s="6">
        <f t="shared" si="10"/>
        <v>8006.96</v>
      </c>
      <c r="N19">
        <f t="shared" si="11"/>
        <v>8006.96</v>
      </c>
      <c r="O19">
        <f t="shared" si="7"/>
        <v>4506.96</v>
      </c>
      <c r="P19" s="6">
        <f t="shared" ref="P19:P27" si="13">IndividalIncomeTax(N19, $D$3)</f>
        <v>346.39200000000005</v>
      </c>
      <c r="Q19" s="31">
        <f t="shared" si="8"/>
        <v>7660.5680000000002</v>
      </c>
      <c r="S19" s="13"/>
    </row>
    <row r="20" spans="1:21">
      <c r="A20" s="34"/>
      <c r="B20">
        <v>5</v>
      </c>
      <c r="C20">
        <v>11000</v>
      </c>
      <c r="H20" s="20">
        <f t="shared" ref="H20:H27" si="14">$L$15*$H$7</f>
        <v>997.68000000000006</v>
      </c>
      <c r="I20" s="20">
        <f t="shared" ref="I20:I27" si="15">$L$15*$I$7</f>
        <v>249.42000000000002</v>
      </c>
      <c r="J20" s="20">
        <f t="shared" ref="J20:J27" si="16">$L$15*$J$7</f>
        <v>124.71000000000001</v>
      </c>
      <c r="K20" s="24">
        <f t="shared" ref="K20:K27" si="17">$L$15*$K$7</f>
        <v>1621.23</v>
      </c>
      <c r="L20" s="28">
        <f t="shared" si="12"/>
        <v>2993.04</v>
      </c>
      <c r="M20" s="6">
        <f t="shared" si="10"/>
        <v>8006.96</v>
      </c>
      <c r="N20">
        <f t="shared" si="11"/>
        <v>8006.96</v>
      </c>
      <c r="O20">
        <f t="shared" si="7"/>
        <v>4506.96</v>
      </c>
      <c r="P20" s="6">
        <f t="shared" si="13"/>
        <v>346.39200000000005</v>
      </c>
      <c r="Q20" s="31">
        <f t="shared" si="8"/>
        <v>7660.5680000000002</v>
      </c>
      <c r="S20" s="13"/>
    </row>
    <row r="21" spans="1:21">
      <c r="A21" s="34"/>
      <c r="B21">
        <v>6</v>
      </c>
      <c r="C21">
        <v>11000</v>
      </c>
      <c r="E21">
        <v>128</v>
      </c>
      <c r="H21" s="20">
        <f t="shared" si="14"/>
        <v>997.68000000000006</v>
      </c>
      <c r="I21" s="20">
        <f t="shared" si="15"/>
        <v>249.42000000000002</v>
      </c>
      <c r="J21" s="20">
        <f t="shared" si="16"/>
        <v>124.71000000000001</v>
      </c>
      <c r="K21" s="24">
        <f t="shared" si="17"/>
        <v>1621.23</v>
      </c>
      <c r="L21" s="28">
        <f t="shared" si="12"/>
        <v>2993.04</v>
      </c>
      <c r="M21" s="6">
        <f t="shared" si="10"/>
        <v>8006.96</v>
      </c>
      <c r="N21">
        <f t="shared" si="11"/>
        <v>8134.96</v>
      </c>
      <c r="O21">
        <f t="shared" si="7"/>
        <v>4634.96</v>
      </c>
      <c r="P21" s="6">
        <f t="shared" si="13"/>
        <v>371.99200000000008</v>
      </c>
      <c r="Q21" s="31">
        <f t="shared" si="8"/>
        <v>7762.9679999999998</v>
      </c>
      <c r="S21" s="13"/>
    </row>
    <row r="22" spans="1:21">
      <c r="A22" s="34"/>
      <c r="B22">
        <v>7</v>
      </c>
      <c r="C22">
        <v>11000</v>
      </c>
      <c r="E22">
        <v>128</v>
      </c>
      <c r="H22" s="20">
        <f t="shared" si="14"/>
        <v>997.68000000000006</v>
      </c>
      <c r="I22" s="20">
        <f t="shared" si="15"/>
        <v>249.42000000000002</v>
      </c>
      <c r="J22" s="20">
        <f t="shared" si="16"/>
        <v>124.71000000000001</v>
      </c>
      <c r="K22" s="24">
        <f t="shared" si="17"/>
        <v>1621.23</v>
      </c>
      <c r="L22" s="28">
        <f t="shared" si="12"/>
        <v>2993.04</v>
      </c>
      <c r="M22" s="6">
        <f t="shared" si="10"/>
        <v>8006.96</v>
      </c>
      <c r="N22">
        <f t="shared" si="11"/>
        <v>8134.96</v>
      </c>
      <c r="O22">
        <f t="shared" si="7"/>
        <v>4634.96</v>
      </c>
      <c r="P22" s="6">
        <f t="shared" si="13"/>
        <v>371.99200000000008</v>
      </c>
      <c r="Q22" s="31">
        <f t="shared" si="8"/>
        <v>7762.9679999999998</v>
      </c>
      <c r="S22" s="13"/>
    </row>
    <row r="23" spans="1:21">
      <c r="A23" s="34"/>
      <c r="B23">
        <v>8</v>
      </c>
      <c r="C23">
        <v>11000</v>
      </c>
      <c r="E23">
        <v>128</v>
      </c>
      <c r="F23">
        <v>505.75</v>
      </c>
      <c r="H23" s="20">
        <f t="shared" si="14"/>
        <v>997.68000000000006</v>
      </c>
      <c r="I23" s="20">
        <f t="shared" si="15"/>
        <v>249.42000000000002</v>
      </c>
      <c r="J23" s="20">
        <f t="shared" si="16"/>
        <v>124.71000000000001</v>
      </c>
      <c r="K23" s="24">
        <f t="shared" si="17"/>
        <v>1621.23</v>
      </c>
      <c r="L23" s="28">
        <f t="shared" ref="L23:L27" si="18">SUM(H23:K23)</f>
        <v>2993.04</v>
      </c>
      <c r="M23" s="6">
        <f t="shared" si="10"/>
        <v>8006.96</v>
      </c>
      <c r="N23">
        <f t="shared" si="11"/>
        <v>8640.7099999999991</v>
      </c>
      <c r="O23">
        <f t="shared" si="7"/>
        <v>5140.7099999999991</v>
      </c>
      <c r="P23" s="6">
        <f t="shared" si="13"/>
        <v>473.14199999999983</v>
      </c>
      <c r="Q23" s="31">
        <f t="shared" si="8"/>
        <v>8167.5680000000002</v>
      </c>
      <c r="S23" s="13"/>
    </row>
    <row r="24" spans="1:21">
      <c r="A24" s="34"/>
      <c r="B24">
        <v>9</v>
      </c>
      <c r="C24">
        <v>11000</v>
      </c>
      <c r="E24">
        <v>128</v>
      </c>
      <c r="F24">
        <v>505.75</v>
      </c>
      <c r="H24" s="20">
        <f t="shared" si="14"/>
        <v>997.68000000000006</v>
      </c>
      <c r="I24" s="20">
        <f t="shared" si="15"/>
        <v>249.42000000000002</v>
      </c>
      <c r="J24" s="20">
        <f t="shared" si="16"/>
        <v>124.71000000000001</v>
      </c>
      <c r="K24" s="24">
        <f t="shared" si="17"/>
        <v>1621.23</v>
      </c>
      <c r="L24" s="28">
        <f t="shared" si="18"/>
        <v>2993.04</v>
      </c>
      <c r="M24" s="6">
        <f t="shared" si="10"/>
        <v>8006.96</v>
      </c>
      <c r="N24">
        <f t="shared" si="11"/>
        <v>8640.7099999999991</v>
      </c>
      <c r="O24">
        <f t="shared" si="7"/>
        <v>5140.7099999999991</v>
      </c>
      <c r="P24" s="6">
        <f t="shared" si="13"/>
        <v>473.14199999999983</v>
      </c>
      <c r="Q24" s="31">
        <f t="shared" si="8"/>
        <v>8167.5680000000002</v>
      </c>
      <c r="S24" s="13"/>
    </row>
    <row r="25" spans="1:21">
      <c r="A25" s="34"/>
      <c r="B25">
        <v>10</v>
      </c>
      <c r="C25">
        <v>11000</v>
      </c>
      <c r="H25" s="20">
        <f t="shared" si="14"/>
        <v>997.68000000000006</v>
      </c>
      <c r="I25" s="20">
        <f t="shared" si="15"/>
        <v>249.42000000000002</v>
      </c>
      <c r="J25" s="20">
        <f t="shared" si="16"/>
        <v>124.71000000000001</v>
      </c>
      <c r="K25" s="24">
        <f t="shared" si="17"/>
        <v>1621.23</v>
      </c>
      <c r="L25" s="28">
        <f t="shared" si="18"/>
        <v>2993.04</v>
      </c>
      <c r="M25" s="6">
        <f t="shared" si="10"/>
        <v>8006.96</v>
      </c>
      <c r="N25">
        <f t="shared" si="11"/>
        <v>8006.96</v>
      </c>
      <c r="O25">
        <f t="shared" si="7"/>
        <v>4506.96</v>
      </c>
      <c r="P25" s="6">
        <f t="shared" si="13"/>
        <v>346.39200000000005</v>
      </c>
      <c r="Q25" s="31">
        <f t="shared" si="8"/>
        <v>7660.5680000000002</v>
      </c>
      <c r="S25" s="13"/>
    </row>
    <row r="26" spans="1:21">
      <c r="A26" s="34"/>
      <c r="B26">
        <v>11</v>
      </c>
      <c r="C26">
        <v>11000</v>
      </c>
      <c r="H26" s="20">
        <f t="shared" si="14"/>
        <v>997.68000000000006</v>
      </c>
      <c r="I26" s="20">
        <f t="shared" si="15"/>
        <v>249.42000000000002</v>
      </c>
      <c r="J26" s="20">
        <f t="shared" si="16"/>
        <v>124.71000000000001</v>
      </c>
      <c r="K26" s="24">
        <f t="shared" si="17"/>
        <v>1621.23</v>
      </c>
      <c r="L26" s="28">
        <f t="shared" si="18"/>
        <v>2993.04</v>
      </c>
      <c r="M26" s="6">
        <f t="shared" si="10"/>
        <v>8006.96</v>
      </c>
      <c r="N26">
        <f t="shared" si="11"/>
        <v>8006.96</v>
      </c>
      <c r="O26">
        <f t="shared" si="7"/>
        <v>4506.96</v>
      </c>
      <c r="P26" s="6">
        <f t="shared" si="13"/>
        <v>346.39200000000005</v>
      </c>
      <c r="Q26" s="31">
        <f t="shared" si="8"/>
        <v>7660.5680000000002</v>
      </c>
      <c r="S26" s="13"/>
    </row>
    <row r="27" spans="1:21">
      <c r="A27" s="34"/>
      <c r="B27">
        <v>12</v>
      </c>
      <c r="C27">
        <v>11000</v>
      </c>
      <c r="H27" s="20">
        <f t="shared" si="14"/>
        <v>997.68000000000006</v>
      </c>
      <c r="I27" s="20">
        <f t="shared" si="15"/>
        <v>249.42000000000002</v>
      </c>
      <c r="J27" s="20">
        <f t="shared" si="16"/>
        <v>124.71000000000001</v>
      </c>
      <c r="K27" s="24">
        <f t="shared" si="17"/>
        <v>1621.23</v>
      </c>
      <c r="L27" s="28">
        <f t="shared" si="18"/>
        <v>2993.04</v>
      </c>
      <c r="M27" s="6">
        <f t="shared" si="10"/>
        <v>8006.96</v>
      </c>
      <c r="N27">
        <f t="shared" si="11"/>
        <v>8006.96</v>
      </c>
      <c r="O27">
        <f t="shared" si="7"/>
        <v>4506.96</v>
      </c>
      <c r="P27" s="6">
        <f t="shared" si="13"/>
        <v>346.39200000000005</v>
      </c>
      <c r="Q27" s="31">
        <f t="shared" si="8"/>
        <v>7660.5680000000002</v>
      </c>
      <c r="S27" s="13"/>
    </row>
    <row r="28" spans="1:21" s="2" customFormat="1">
      <c r="A28" s="10"/>
      <c r="C28" s="2">
        <f>SUM(C16:C27)</f>
        <v>132000</v>
      </c>
      <c r="D28" s="2">
        <f t="shared" ref="D28:G28" si="19">SUM(D16:D27)</f>
        <v>12000</v>
      </c>
      <c r="E28" s="2">
        <f t="shared" si="19"/>
        <v>697</v>
      </c>
      <c r="F28" s="2">
        <f t="shared" si="19"/>
        <v>1011.5</v>
      </c>
      <c r="G28" s="2">
        <f t="shared" si="19"/>
        <v>0</v>
      </c>
      <c r="H28" s="19">
        <f>SUM(H16:H27)</f>
        <v>11972.160000000002</v>
      </c>
      <c r="I28" s="19">
        <f>SUM(I16:I27)</f>
        <v>3253.0400000000004</v>
      </c>
      <c r="J28" s="19">
        <f>SUM(J16:J27)</f>
        <v>1496.5200000000002</v>
      </c>
      <c r="K28" s="23">
        <f>SUM(K16:K27)</f>
        <v>19454.759999999998</v>
      </c>
      <c r="L28" s="27"/>
      <c r="Q28" s="31">
        <f>SUM(Q16:Q27)</f>
        <v>104737.31200000001</v>
      </c>
      <c r="S28" s="14"/>
    </row>
    <row r="29" spans="1:21">
      <c r="A29" s="16"/>
      <c r="C29" s="12"/>
      <c r="D29" s="12"/>
      <c r="E29" s="12"/>
      <c r="F29" s="12"/>
      <c r="G29" s="12"/>
      <c r="H29" s="36">
        <f>C28+D28+E28+F28+G28</f>
        <v>145708.5</v>
      </c>
      <c r="I29" s="36"/>
      <c r="J29" s="37">
        <f>H29/12</f>
        <v>12142.375</v>
      </c>
      <c r="K29" s="37"/>
      <c r="L29" s="35">
        <f>ROUND(J29, 0)</f>
        <v>12142</v>
      </c>
      <c r="M29" s="35"/>
      <c r="N29" s="35">
        <v>12084</v>
      </c>
      <c r="O29" s="35"/>
      <c r="P29" s="30">
        <f>(C28+D28+F28+G28)/12</f>
        <v>12084.291666666666</v>
      </c>
      <c r="R29" s="15"/>
      <c r="S29" s="13"/>
      <c r="U29" s="13"/>
    </row>
    <row r="30" spans="1:21">
      <c r="A30" s="34">
        <v>2015</v>
      </c>
      <c r="B30">
        <v>1</v>
      </c>
      <c r="C30">
        <v>11000</v>
      </c>
      <c r="D30">
        <v>0</v>
      </c>
      <c r="H30" s="20">
        <f t="shared" ref="H30:H41" si="20">$N$29*$H$7</f>
        <v>966.72</v>
      </c>
      <c r="I30" s="17">
        <f>$N$29*$I$7+$I$6</f>
        <v>501.68</v>
      </c>
      <c r="J30" s="20">
        <f t="shared" ref="J30:J41" si="21">$N$29*$J$7</f>
        <v>120.84</v>
      </c>
      <c r="K30" s="21">
        <f>ROUND($L$15*$K$7,0)</f>
        <v>1621</v>
      </c>
      <c r="L30" s="28">
        <f t="shared" ref="L30:L41" si="22">SUM(H30:K30)</f>
        <v>3210.24</v>
      </c>
      <c r="M30" s="6">
        <f t="shared" ref="M30:M41" si="23">C30-L30</f>
        <v>7789.76</v>
      </c>
      <c r="N30">
        <f>M30+E30+F30</f>
        <v>7789.76</v>
      </c>
      <c r="O30">
        <f t="shared" ref="O30:O41" si="24">N30-$O$7</f>
        <v>4289.76</v>
      </c>
      <c r="P30" s="6">
        <f>IndividalIncomeTax(N30, $D$3)</f>
        <v>323.97600000000006</v>
      </c>
      <c r="Q30" s="31">
        <f t="shared" ref="Q30:Q41" si="25">M30-P30+D30+E30+F30+G30</f>
        <v>7465.7840000000006</v>
      </c>
      <c r="S30" s="13"/>
    </row>
    <row r="31" spans="1:21">
      <c r="A31" s="34"/>
      <c r="B31">
        <v>2</v>
      </c>
      <c r="C31">
        <v>11000</v>
      </c>
      <c r="E31">
        <v>520</v>
      </c>
      <c r="H31" s="20">
        <f t="shared" si="20"/>
        <v>966.72</v>
      </c>
      <c r="I31" s="17">
        <f t="shared" ref="I31:I41" si="26">$N$29*$I$7</f>
        <v>241.68</v>
      </c>
      <c r="J31" s="20">
        <f t="shared" si="21"/>
        <v>120.84</v>
      </c>
      <c r="K31" s="21">
        <f t="shared" ref="K31:K35" si="27">ROUND($L$15*$K$7,0)</f>
        <v>1621</v>
      </c>
      <c r="L31" s="28">
        <f t="shared" si="22"/>
        <v>2950.24</v>
      </c>
      <c r="M31" s="6">
        <f t="shared" si="23"/>
        <v>8049.76</v>
      </c>
      <c r="N31" s="6">
        <f>M31+E31+F31</f>
        <v>8569.76</v>
      </c>
      <c r="O31">
        <f t="shared" si="24"/>
        <v>5069.76</v>
      </c>
      <c r="P31" s="6">
        <f>IndividalIncomeTax(N31, $D$3)+R31*F2</f>
        <v>568.55200000000013</v>
      </c>
      <c r="Q31" s="31">
        <f>M31-P31+D31+E31+F31+G31</f>
        <v>8001.2080000000005</v>
      </c>
      <c r="R31">
        <v>548</v>
      </c>
      <c r="S31" s="13" t="s">
        <v>25</v>
      </c>
    </row>
    <row r="32" spans="1:21">
      <c r="A32" s="34"/>
      <c r="B32">
        <v>3</v>
      </c>
      <c r="C32">
        <v>11000</v>
      </c>
      <c r="D32">
        <v>26000</v>
      </c>
      <c r="H32" s="20">
        <f t="shared" si="20"/>
        <v>966.72</v>
      </c>
      <c r="I32" s="17">
        <f t="shared" si="26"/>
        <v>241.68</v>
      </c>
      <c r="J32" s="20">
        <f t="shared" si="21"/>
        <v>120.84</v>
      </c>
      <c r="K32" s="21">
        <f t="shared" si="27"/>
        <v>1621</v>
      </c>
      <c r="L32" s="28">
        <f t="shared" si="22"/>
        <v>2950.24</v>
      </c>
      <c r="M32" s="6">
        <f t="shared" si="23"/>
        <v>8049.76</v>
      </c>
      <c r="N32">
        <f t="shared" ref="N32:N41" si="28">M32+E32+F32</f>
        <v>8049.76</v>
      </c>
      <c r="O32">
        <f t="shared" si="24"/>
        <v>4549.76</v>
      </c>
      <c r="P32" s="6">
        <f>IndividalIncomeTax(N32, $D$3)+BonusTax(D32)</f>
        <v>2849.9520000000002</v>
      </c>
      <c r="Q32" s="31">
        <f t="shared" si="25"/>
        <v>31199.808000000001</v>
      </c>
      <c r="S32" s="13"/>
    </row>
    <row r="33" spans="1:19">
      <c r="A33" s="34"/>
      <c r="B33">
        <v>4</v>
      </c>
      <c r="C33">
        <v>12320</v>
      </c>
      <c r="H33" s="20">
        <f t="shared" si="20"/>
        <v>966.72</v>
      </c>
      <c r="I33" s="17">
        <f t="shared" si="26"/>
        <v>241.68</v>
      </c>
      <c r="J33" s="20">
        <f t="shared" si="21"/>
        <v>120.84</v>
      </c>
      <c r="K33" s="21">
        <f t="shared" si="27"/>
        <v>1621</v>
      </c>
      <c r="L33" s="28">
        <f t="shared" si="22"/>
        <v>2950.24</v>
      </c>
      <c r="M33" s="6">
        <f t="shared" si="23"/>
        <v>9369.76</v>
      </c>
      <c r="N33">
        <f t="shared" si="28"/>
        <v>9369.76</v>
      </c>
      <c r="O33">
        <f t="shared" si="24"/>
        <v>5869.76</v>
      </c>
      <c r="P33" s="6">
        <f t="shared" ref="P33:P41" si="29">IndividalIncomeTax(N33, $D$3)</f>
        <v>618.952</v>
      </c>
      <c r="Q33" s="31">
        <f t="shared" si="25"/>
        <v>8750.8080000000009</v>
      </c>
      <c r="S33" s="13"/>
    </row>
    <row r="34" spans="1:19">
      <c r="A34" s="34"/>
      <c r="B34">
        <v>5</v>
      </c>
      <c r="C34">
        <v>12320</v>
      </c>
      <c r="H34" s="20">
        <f t="shared" si="20"/>
        <v>966.72</v>
      </c>
      <c r="I34" s="17">
        <f t="shared" si="26"/>
        <v>241.68</v>
      </c>
      <c r="J34" s="20">
        <f t="shared" si="21"/>
        <v>120.84</v>
      </c>
      <c r="K34" s="21">
        <f t="shared" si="27"/>
        <v>1621</v>
      </c>
      <c r="L34" s="28">
        <f t="shared" si="22"/>
        <v>2950.24</v>
      </c>
      <c r="M34" s="6">
        <f t="shared" si="23"/>
        <v>9369.76</v>
      </c>
      <c r="N34">
        <f t="shared" si="28"/>
        <v>9369.76</v>
      </c>
      <c r="O34">
        <f t="shared" si="24"/>
        <v>5869.76</v>
      </c>
      <c r="P34" s="6">
        <f t="shared" si="29"/>
        <v>618.952</v>
      </c>
      <c r="Q34" s="31">
        <f t="shared" si="25"/>
        <v>8750.8080000000009</v>
      </c>
      <c r="S34" s="13"/>
    </row>
    <row r="35" spans="1:19">
      <c r="A35" s="34"/>
      <c r="B35">
        <v>6</v>
      </c>
      <c r="C35">
        <v>12320</v>
      </c>
      <c r="E35">
        <v>140.6</v>
      </c>
      <c r="H35" s="20">
        <f t="shared" si="20"/>
        <v>966.72</v>
      </c>
      <c r="I35" s="17">
        <f t="shared" si="26"/>
        <v>241.68</v>
      </c>
      <c r="J35" s="20">
        <f t="shared" si="21"/>
        <v>120.84</v>
      </c>
      <c r="K35" s="21">
        <f t="shared" si="27"/>
        <v>1621</v>
      </c>
      <c r="L35" s="28">
        <f t="shared" si="22"/>
        <v>2950.24</v>
      </c>
      <c r="M35" s="6">
        <f t="shared" si="23"/>
        <v>9369.76</v>
      </c>
      <c r="N35">
        <f t="shared" si="28"/>
        <v>9510.36</v>
      </c>
      <c r="O35">
        <f t="shared" si="24"/>
        <v>6010.3600000000006</v>
      </c>
      <c r="P35" s="6">
        <f t="shared" si="29"/>
        <v>647.07200000000012</v>
      </c>
      <c r="Q35" s="31">
        <f t="shared" si="25"/>
        <v>8863.2880000000005</v>
      </c>
      <c r="S35" s="13"/>
    </row>
    <row r="36" spans="1:19">
      <c r="A36" s="34"/>
      <c r="B36">
        <v>7</v>
      </c>
      <c r="C36">
        <v>12320</v>
      </c>
      <c r="E36">
        <v>140.6</v>
      </c>
      <c r="H36" s="20">
        <f t="shared" si="20"/>
        <v>966.72</v>
      </c>
      <c r="I36" s="17">
        <f t="shared" si="26"/>
        <v>241.68</v>
      </c>
      <c r="J36" s="20">
        <f t="shared" si="21"/>
        <v>120.84</v>
      </c>
      <c r="K36" s="29">
        <f t="shared" ref="K36:K41" si="30">ROUND($N$29*$K$7,0)</f>
        <v>1571</v>
      </c>
      <c r="L36" s="28">
        <f t="shared" si="22"/>
        <v>2900.24</v>
      </c>
      <c r="M36" s="6">
        <f t="shared" si="23"/>
        <v>9419.76</v>
      </c>
      <c r="N36">
        <f t="shared" si="28"/>
        <v>9560.36</v>
      </c>
      <c r="O36">
        <f t="shared" si="24"/>
        <v>6060.3600000000006</v>
      </c>
      <c r="P36" s="6">
        <f t="shared" si="29"/>
        <v>657.07200000000012</v>
      </c>
      <c r="Q36" s="31">
        <f t="shared" si="25"/>
        <v>8903.2880000000005</v>
      </c>
      <c r="S36" s="13"/>
    </row>
    <row r="37" spans="1:19">
      <c r="A37" s="34"/>
      <c r="B37">
        <v>8</v>
      </c>
      <c r="C37">
        <v>12320</v>
      </c>
      <c r="E37">
        <v>140.6</v>
      </c>
      <c r="H37" s="20">
        <f t="shared" si="20"/>
        <v>966.72</v>
      </c>
      <c r="I37" s="17">
        <f t="shared" si="26"/>
        <v>241.68</v>
      </c>
      <c r="J37" s="20">
        <f t="shared" si="21"/>
        <v>120.84</v>
      </c>
      <c r="K37" s="29">
        <f t="shared" si="30"/>
        <v>1571</v>
      </c>
      <c r="L37" s="28">
        <f t="shared" si="22"/>
        <v>2900.24</v>
      </c>
      <c r="M37" s="6">
        <f t="shared" si="23"/>
        <v>9419.76</v>
      </c>
      <c r="N37">
        <f t="shared" si="28"/>
        <v>9560.36</v>
      </c>
      <c r="O37">
        <f t="shared" si="24"/>
        <v>6060.3600000000006</v>
      </c>
      <c r="P37" s="6">
        <f t="shared" si="29"/>
        <v>657.07200000000012</v>
      </c>
      <c r="Q37" s="31">
        <f t="shared" si="25"/>
        <v>8903.2880000000005</v>
      </c>
      <c r="S37" s="13"/>
    </row>
    <row r="38" spans="1:19">
      <c r="A38" s="34"/>
      <c r="B38">
        <v>9</v>
      </c>
      <c r="C38">
        <v>12320</v>
      </c>
      <c r="E38" s="5">
        <v>140.6</v>
      </c>
      <c r="F38" s="5"/>
      <c r="G38" s="5"/>
      <c r="H38" s="20">
        <f t="shared" si="20"/>
        <v>966.72</v>
      </c>
      <c r="I38" s="17">
        <f t="shared" si="26"/>
        <v>241.68</v>
      </c>
      <c r="J38" s="20">
        <f t="shared" si="21"/>
        <v>120.84</v>
      </c>
      <c r="K38" s="29">
        <f t="shared" si="30"/>
        <v>1571</v>
      </c>
      <c r="L38" s="28">
        <f t="shared" si="22"/>
        <v>2900.24</v>
      </c>
      <c r="M38" s="6">
        <f t="shared" si="23"/>
        <v>9419.76</v>
      </c>
      <c r="N38">
        <f t="shared" si="28"/>
        <v>9560.36</v>
      </c>
      <c r="O38">
        <f t="shared" si="24"/>
        <v>6060.3600000000006</v>
      </c>
      <c r="P38" s="6">
        <f t="shared" si="29"/>
        <v>657.07200000000012</v>
      </c>
      <c r="Q38" s="31">
        <f t="shared" si="25"/>
        <v>8903.2880000000005</v>
      </c>
      <c r="S38" s="13"/>
    </row>
    <row r="39" spans="1:19">
      <c r="A39" s="34"/>
      <c r="B39">
        <v>10</v>
      </c>
      <c r="C39">
        <v>12320</v>
      </c>
      <c r="H39" s="20">
        <f t="shared" si="20"/>
        <v>966.72</v>
      </c>
      <c r="I39" s="17">
        <f t="shared" si="26"/>
        <v>241.68</v>
      </c>
      <c r="J39" s="20">
        <f t="shared" si="21"/>
        <v>120.84</v>
      </c>
      <c r="K39" s="29">
        <f t="shared" si="30"/>
        <v>1571</v>
      </c>
      <c r="L39" s="28">
        <f t="shared" si="22"/>
        <v>2900.24</v>
      </c>
      <c r="M39" s="6">
        <f t="shared" si="23"/>
        <v>9419.76</v>
      </c>
      <c r="N39">
        <f t="shared" si="28"/>
        <v>9419.76</v>
      </c>
      <c r="O39">
        <f t="shared" si="24"/>
        <v>5919.76</v>
      </c>
      <c r="P39" s="6">
        <f t="shared" si="29"/>
        <v>628.952</v>
      </c>
      <c r="Q39" s="31">
        <f t="shared" si="25"/>
        <v>8790.8080000000009</v>
      </c>
      <c r="S39" s="13"/>
    </row>
    <row r="40" spans="1:19">
      <c r="A40" s="34"/>
      <c r="B40">
        <v>11</v>
      </c>
      <c r="C40">
        <v>12320</v>
      </c>
      <c r="F40">
        <v>6160</v>
      </c>
      <c r="H40" s="20">
        <f t="shared" si="20"/>
        <v>966.72</v>
      </c>
      <c r="I40" s="17">
        <f t="shared" si="26"/>
        <v>241.68</v>
      </c>
      <c r="J40" s="20">
        <f t="shared" si="21"/>
        <v>120.84</v>
      </c>
      <c r="K40" s="29">
        <f t="shared" si="30"/>
        <v>1571</v>
      </c>
      <c r="L40" s="28">
        <f t="shared" si="22"/>
        <v>2900.24</v>
      </c>
      <c r="M40" s="6">
        <f>C40-L40</f>
        <v>9419.76</v>
      </c>
      <c r="N40">
        <f t="shared" si="28"/>
        <v>15579.76</v>
      </c>
      <c r="O40">
        <f t="shared" si="24"/>
        <v>12079.76</v>
      </c>
      <c r="P40" s="6">
        <f t="shared" si="29"/>
        <v>2014.94</v>
      </c>
      <c r="Q40" s="31">
        <f t="shared" si="25"/>
        <v>13564.82</v>
      </c>
      <c r="S40" s="13"/>
    </row>
    <row r="41" spans="1:19">
      <c r="A41" s="34"/>
      <c r="B41">
        <v>12</v>
      </c>
      <c r="C41">
        <v>12320</v>
      </c>
      <c r="H41" s="20">
        <f t="shared" si="20"/>
        <v>966.72</v>
      </c>
      <c r="I41" s="17">
        <f t="shared" si="26"/>
        <v>241.68</v>
      </c>
      <c r="J41" s="20">
        <f t="shared" si="21"/>
        <v>120.84</v>
      </c>
      <c r="K41" s="29">
        <f t="shared" si="30"/>
        <v>1571</v>
      </c>
      <c r="L41" s="28">
        <f t="shared" si="22"/>
        <v>2900.24</v>
      </c>
      <c r="M41" s="6">
        <f t="shared" si="23"/>
        <v>9419.76</v>
      </c>
      <c r="N41">
        <f t="shared" si="28"/>
        <v>9419.76</v>
      </c>
      <c r="O41">
        <f t="shared" si="24"/>
        <v>5919.76</v>
      </c>
      <c r="P41" s="6">
        <f t="shared" si="29"/>
        <v>628.952</v>
      </c>
      <c r="Q41" s="31">
        <f t="shared" si="25"/>
        <v>8790.8080000000009</v>
      </c>
      <c r="S41" s="13"/>
    </row>
    <row r="42" spans="1:19" s="2" customFormat="1">
      <c r="A42" s="10"/>
      <c r="C42" s="2">
        <f>SUM(C30:C41)</f>
        <v>143880</v>
      </c>
      <c r="D42" s="2">
        <f t="shared" ref="D42:J42" si="31">SUM(D30:D41)</f>
        <v>26000</v>
      </c>
      <c r="E42" s="2">
        <f t="shared" si="31"/>
        <v>1082.4000000000001</v>
      </c>
      <c r="F42" s="2">
        <f t="shared" si="31"/>
        <v>6160</v>
      </c>
      <c r="G42" s="2">
        <f t="shared" si="31"/>
        <v>0</v>
      </c>
      <c r="H42" s="25">
        <f t="shared" si="31"/>
        <v>11600.64</v>
      </c>
      <c r="I42" s="25">
        <f t="shared" si="31"/>
        <v>3160.1599999999994</v>
      </c>
      <c r="J42" s="25">
        <f t="shared" si="31"/>
        <v>1450.08</v>
      </c>
      <c r="K42" s="25">
        <f>SUM(K30:K41)</f>
        <v>19152</v>
      </c>
      <c r="L42" s="27"/>
      <c r="Q42" s="31">
        <f>SUM(Q30:Q41)</f>
        <v>130888.00400000003</v>
      </c>
    </row>
    <row r="43" spans="1:19">
      <c r="A43" s="16"/>
      <c r="H43" s="36">
        <f>C42+D42+E42+F42+G42</f>
        <v>177122.4</v>
      </c>
      <c r="I43" s="36"/>
      <c r="J43" s="37">
        <f>H43/12</f>
        <v>14760.199999999999</v>
      </c>
      <c r="K43" s="37"/>
      <c r="L43" s="37">
        <f>ROUND(J43, 0)</f>
        <v>14760</v>
      </c>
      <c r="M43" s="37"/>
      <c r="N43" s="37">
        <v>14058</v>
      </c>
      <c r="O43" s="37"/>
    </row>
    <row r="44" spans="1:19">
      <c r="B44">
        <v>1</v>
      </c>
      <c r="C44">
        <v>12320</v>
      </c>
      <c r="H44" s="20">
        <f>$N$43*$H$7</f>
        <v>1124.6400000000001</v>
      </c>
      <c r="I44" s="17">
        <f>$N$43*$I$7+$I$6</f>
        <v>541.16000000000008</v>
      </c>
      <c r="J44" s="20">
        <f>$N$43*$J$7</f>
        <v>140.58000000000001</v>
      </c>
      <c r="K44" s="29">
        <f t="shared" ref="K44:K47" si="32">ROUND($N$29*$K$7,0)</f>
        <v>1571</v>
      </c>
      <c r="L44" s="28">
        <f t="shared" ref="L44:L49" si="33">SUM(H44:K44)</f>
        <v>3377.38</v>
      </c>
      <c r="M44" s="6">
        <f t="shared" ref="M44:M49" si="34">C44-L44</f>
        <v>8942.619999999999</v>
      </c>
      <c r="N44">
        <f t="shared" ref="N44" si="35">M44+E44+F44</f>
        <v>8942.619999999999</v>
      </c>
      <c r="O44">
        <f t="shared" ref="O44:O49" si="36">N44-$O$7</f>
        <v>5442.619999999999</v>
      </c>
      <c r="P44" s="6">
        <f>IndividalIncomeTax(N44, $D$3)</f>
        <v>533.52399999999989</v>
      </c>
      <c r="Q44" s="31">
        <f t="shared" ref="Q44:Q49" si="37">M44-P44+D44+E44+F44+G44</f>
        <v>8409.0959999999995</v>
      </c>
      <c r="S44">
        <f>Q14+Q28+Q42</f>
        <v>271806.766</v>
      </c>
    </row>
    <row r="45" spans="1:19">
      <c r="B45">
        <v>2</v>
      </c>
      <c r="C45">
        <v>12320</v>
      </c>
      <c r="E45">
        <v>520</v>
      </c>
      <c r="H45" s="20">
        <f>$N$43*$H$7</f>
        <v>1124.6400000000001</v>
      </c>
      <c r="I45" s="17">
        <f>$N$43*$I$7</f>
        <v>281.16000000000003</v>
      </c>
      <c r="J45" s="20">
        <f>$N$43*$J$7</f>
        <v>140.58000000000001</v>
      </c>
      <c r="K45" s="29">
        <f t="shared" si="32"/>
        <v>1571</v>
      </c>
      <c r="L45" s="28">
        <f t="shared" si="33"/>
        <v>3117.38</v>
      </c>
      <c r="M45" s="6">
        <f t="shared" si="34"/>
        <v>9202.619999999999</v>
      </c>
      <c r="N45" s="6">
        <f>M45+F45</f>
        <v>9202.619999999999</v>
      </c>
      <c r="O45">
        <f t="shared" si="36"/>
        <v>5702.619999999999</v>
      </c>
      <c r="P45" s="6">
        <f>IndividalIncomeTax(N45, $D$3)</f>
        <v>585.52399999999989</v>
      </c>
      <c r="Q45" s="31">
        <f t="shared" si="37"/>
        <v>9137.0959999999995</v>
      </c>
      <c r="S45" s="6">
        <f>K14+K28+K42</f>
        <v>47186.759999999995</v>
      </c>
    </row>
    <row r="46" spans="1:19">
      <c r="B46">
        <v>3</v>
      </c>
      <c r="C46">
        <v>12320</v>
      </c>
      <c r="D46">
        <v>27337</v>
      </c>
      <c r="H46" s="20">
        <f>$N$43*$H$7</f>
        <v>1124.6400000000001</v>
      </c>
      <c r="I46" s="17">
        <f>$N$43*$I$7</f>
        <v>281.16000000000003</v>
      </c>
      <c r="J46" s="20">
        <f>$N$43*$J$7</f>
        <v>140.58000000000001</v>
      </c>
      <c r="K46" s="29">
        <f t="shared" si="32"/>
        <v>1571</v>
      </c>
      <c r="L46" s="28">
        <f t="shared" si="33"/>
        <v>3117.38</v>
      </c>
      <c r="M46" s="6">
        <f t="shared" si="34"/>
        <v>9202.619999999999</v>
      </c>
      <c r="N46" s="6">
        <f>M46+F46</f>
        <v>9202.619999999999</v>
      </c>
      <c r="O46">
        <f t="shared" si="36"/>
        <v>5702.619999999999</v>
      </c>
      <c r="P46" s="6">
        <f>IndividalIncomeTax(N46, $D$3)+BonusTax(D46)</f>
        <v>3214.2240000000002</v>
      </c>
      <c r="Q46" s="31">
        <f t="shared" si="37"/>
        <v>33325.396000000001</v>
      </c>
    </row>
    <row r="47" spans="1:19">
      <c r="B47">
        <v>4</v>
      </c>
      <c r="C47">
        <v>14784</v>
      </c>
      <c r="H47" s="20">
        <f>$N$43*$H$7</f>
        <v>1124.6400000000001</v>
      </c>
      <c r="I47" s="17">
        <f>$N$43*$I$7</f>
        <v>281.16000000000003</v>
      </c>
      <c r="J47" s="20">
        <f>$N$43*$J$7</f>
        <v>140.58000000000001</v>
      </c>
      <c r="K47" s="29">
        <f t="shared" si="32"/>
        <v>1571</v>
      </c>
      <c r="L47" s="28">
        <f t="shared" si="33"/>
        <v>3117.38</v>
      </c>
      <c r="M47" s="6">
        <f t="shared" si="34"/>
        <v>11666.619999999999</v>
      </c>
      <c r="N47" s="6">
        <f>M47+F47</f>
        <v>11666.619999999999</v>
      </c>
      <c r="O47">
        <f t="shared" si="36"/>
        <v>8166.619999999999</v>
      </c>
      <c r="P47" s="6">
        <f>IndividalIncomeTax(N47, $D$3)</f>
        <v>1078.3239999999998</v>
      </c>
      <c r="Q47" s="31">
        <f t="shared" si="37"/>
        <v>10588.295999999998</v>
      </c>
    </row>
    <row r="48" spans="1:19">
      <c r="B48">
        <v>5</v>
      </c>
      <c r="C48">
        <v>14784</v>
      </c>
      <c r="G48">
        <v>120.84</v>
      </c>
      <c r="H48" s="20">
        <f>$N$43*$H$7</f>
        <v>1124.6400000000001</v>
      </c>
      <c r="I48" s="17">
        <f>$N$43*$I$7</f>
        <v>281.16000000000003</v>
      </c>
      <c r="J48" s="20">
        <f>$N$43*$J$7</f>
        <v>140.58000000000001</v>
      </c>
      <c r="K48" s="29">
        <f>ROUND($N$29*$K$6,0)</f>
        <v>1450</v>
      </c>
      <c r="L48" s="28">
        <f t="shared" si="33"/>
        <v>2996.38</v>
      </c>
      <c r="M48" s="6">
        <f t="shared" si="34"/>
        <v>11787.619999999999</v>
      </c>
      <c r="N48" s="6">
        <f>M48+G48</f>
        <v>11908.46</v>
      </c>
      <c r="O48">
        <f t="shared" si="36"/>
        <v>8408.4599999999991</v>
      </c>
      <c r="P48" s="6">
        <f>IndividalIncomeTax(N48, $D$3)</f>
        <v>1126.692</v>
      </c>
      <c r="Q48" s="31">
        <f t="shared" si="37"/>
        <v>10781.768</v>
      </c>
    </row>
    <row r="49" spans="2:17">
      <c r="B49">
        <v>6</v>
      </c>
      <c r="C49">
        <v>14784</v>
      </c>
      <c r="E49">
        <v>148.30000000000001</v>
      </c>
      <c r="G49">
        <v>120.84</v>
      </c>
      <c r="H49" s="20">
        <f>$N$43*$H$7</f>
        <v>1124.6400000000001</v>
      </c>
      <c r="I49" s="17">
        <f>$N$43*$I$7</f>
        <v>281.16000000000003</v>
      </c>
      <c r="J49" s="20">
        <f>$N$43*$J$6</f>
        <v>70.290000000000006</v>
      </c>
      <c r="K49" s="29">
        <f>ROUND($N$29*$K$6,0)</f>
        <v>1450</v>
      </c>
      <c r="L49" s="28">
        <f t="shared" si="33"/>
        <v>2926.09</v>
      </c>
      <c r="M49" s="6">
        <f t="shared" si="34"/>
        <v>11857.91</v>
      </c>
      <c r="N49" s="6">
        <f>M49+G49+E49</f>
        <v>12127.05</v>
      </c>
      <c r="O49">
        <f t="shared" si="36"/>
        <v>8627.0499999999993</v>
      </c>
      <c r="P49" s="6">
        <f>IndividalIncomeTax(N49, $D$3)</f>
        <v>1170.4099999999999</v>
      </c>
      <c r="Q49" s="31">
        <f t="shared" si="37"/>
        <v>10956.64</v>
      </c>
    </row>
  </sheetData>
  <mergeCells count="16">
    <mergeCell ref="N43:O43"/>
    <mergeCell ref="L43:M43"/>
    <mergeCell ref="N29:O29"/>
    <mergeCell ref="A30:A41"/>
    <mergeCell ref="D5:G5"/>
    <mergeCell ref="A8:A13"/>
    <mergeCell ref="H15:I15"/>
    <mergeCell ref="J15:K15"/>
    <mergeCell ref="L15:M15"/>
    <mergeCell ref="N15:O15"/>
    <mergeCell ref="A16:A27"/>
    <mergeCell ref="H43:I43"/>
    <mergeCell ref="J43:K43"/>
    <mergeCell ref="L29:M29"/>
    <mergeCell ref="H29:I29"/>
    <mergeCell ref="J29:K29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2016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2016-06-27T12:19:21Z</dcterms:modified>
</cp:coreProperties>
</file>